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remiah.price\Documents\1. Main Work\"/>
    </mc:Choice>
  </mc:AlternateContent>
  <xr:revisionPtr revIDLastSave="0" documentId="13_ncr:1_{2EFEBD97-0F42-4933-A4FF-F0325F69DDCE}" xr6:coauthVersionLast="47" xr6:coauthVersionMax="47" xr10:uidLastSave="{00000000-0000-0000-0000-000000000000}"/>
  <bookViews>
    <workbookView xWindow="-120" yWindow="-120" windowWidth="38640" windowHeight="21120" tabRatio="762" xr2:uid="{00000000-000D-0000-FFFF-FFFF00000000}"/>
  </bookViews>
  <sheets>
    <sheet name="Dashboard" sheetId="1" r:id="rId1"/>
    <sheet name="Instructions" sheetId="5" r:id="rId2"/>
    <sheet name="Compliance" sheetId="8" r:id="rId3"/>
    <sheet name="CAT I Controls" sheetId="9" r:id="rId4"/>
    <sheet name="CAT II Controls" sheetId="10" r:id="rId5"/>
    <sheet name="CAT III Controls" sheetId="11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10" l="1"/>
  <c r="J10" i="9"/>
  <c r="J18" i="9"/>
  <c r="J21" i="9" s="1"/>
  <c r="J19" i="9"/>
  <c r="J4" i="8"/>
  <c r="J5" i="8"/>
  <c r="J6" i="8"/>
  <c r="J7" i="8"/>
  <c r="J8" i="8"/>
  <c r="J9" i="8"/>
  <c r="J11" i="8"/>
  <c r="J12" i="8"/>
  <c r="J13" i="8"/>
  <c r="J14" i="8"/>
  <c r="J15" i="8"/>
  <c r="J16" i="8"/>
  <c r="J17" i="8"/>
  <c r="J18" i="8"/>
  <c r="J20" i="8"/>
  <c r="G3" i="8"/>
  <c r="J3" i="8" s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3" i="8"/>
  <c r="H21" i="8" s="1"/>
  <c r="I3" i="8"/>
  <c r="I21" i="8" s="1"/>
  <c r="G4" i="8"/>
  <c r="G5" i="8"/>
  <c r="G6" i="8"/>
  <c r="G7" i="8"/>
  <c r="G8" i="8"/>
  <c r="G9" i="8"/>
  <c r="G10" i="8"/>
  <c r="J10" i="8" s="1"/>
  <c r="G11" i="8"/>
  <c r="G12" i="8"/>
  <c r="G13" i="8"/>
  <c r="G14" i="8"/>
  <c r="G15" i="8"/>
  <c r="G16" i="8"/>
  <c r="G17" i="8"/>
  <c r="G18" i="8"/>
  <c r="G19" i="8"/>
  <c r="J19" i="8" s="1"/>
  <c r="G20" i="8"/>
  <c r="F21" i="8"/>
  <c r="E21" i="8"/>
  <c r="D21" i="8"/>
  <c r="C21" i="8"/>
  <c r="B21" i="8"/>
  <c r="I21" i="9"/>
  <c r="H21" i="9"/>
  <c r="G21" i="9"/>
  <c r="F21" i="9"/>
  <c r="E21" i="9"/>
  <c r="D21" i="9"/>
  <c r="C21" i="9"/>
  <c r="B21" i="9"/>
  <c r="J21" i="10"/>
  <c r="I21" i="10"/>
  <c r="H21" i="10"/>
  <c r="G21" i="10"/>
  <c r="F21" i="10"/>
  <c r="E21" i="10"/>
  <c r="D21" i="10"/>
  <c r="C21" i="10"/>
  <c r="B21" i="10"/>
  <c r="B21" i="11"/>
  <c r="C21" i="11"/>
  <c r="D21" i="11"/>
  <c r="E21" i="11"/>
  <c r="F21" i="11"/>
  <c r="G21" i="11"/>
  <c r="H21" i="11"/>
  <c r="I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19" i="10"/>
  <c r="J18" i="10"/>
  <c r="J17" i="10"/>
  <c r="J16" i="10"/>
  <c r="J15" i="10"/>
  <c r="J13" i="10"/>
  <c r="J12" i="10"/>
  <c r="J11" i="10"/>
  <c r="J10" i="10"/>
  <c r="J9" i="10"/>
  <c r="J8" i="10"/>
  <c r="J7" i="10"/>
  <c r="J6" i="10"/>
  <c r="J5" i="10"/>
  <c r="K12" i="1"/>
  <c r="L9" i="1"/>
  <c r="K10" i="1"/>
  <c r="J13" i="1"/>
  <c r="C9" i="1"/>
  <c r="C11" i="1"/>
  <c r="B9" i="1"/>
  <c r="K6" i="1"/>
  <c r="E8" i="1"/>
  <c r="G8" i="1"/>
  <c r="K8" i="1"/>
  <c r="K13" i="1"/>
  <c r="G9" i="1"/>
  <c r="J5" i="1"/>
  <c r="K9" i="1"/>
  <c r="L7" i="1"/>
  <c r="G6" i="1"/>
  <c r="E9" i="1"/>
  <c r="E12" i="1"/>
  <c r="J10" i="1"/>
  <c r="F7" i="1"/>
  <c r="J4" i="1"/>
  <c r="K5" i="1"/>
  <c r="E10" i="1"/>
  <c r="L10" i="1"/>
  <c r="B12" i="1"/>
  <c r="K7" i="1"/>
  <c r="J7" i="1"/>
  <c r="G7" i="1"/>
  <c r="C10" i="1"/>
  <c r="B5" i="1"/>
  <c r="L5" i="1"/>
  <c r="F6" i="1"/>
  <c r="K11" i="1"/>
  <c r="C12" i="1"/>
  <c r="G5" i="1"/>
  <c r="C4" i="1"/>
  <c r="C5" i="1"/>
  <c r="F8" i="1"/>
  <c r="F10" i="1"/>
  <c r="D8" i="1" a="1"/>
  <c r="K4" i="1"/>
  <c r="H11" i="1"/>
  <c r="D6" i="1" a="1"/>
  <c r="E11" i="1"/>
  <c r="H13" i="1"/>
  <c r="H6" i="1"/>
  <c r="D13" i="1" a="1"/>
  <c r="C7" i="1"/>
  <c r="B10" i="1"/>
  <c r="J8" i="1"/>
  <c r="E7" i="1"/>
  <c r="L13" i="1"/>
  <c r="D4" i="1" a="1"/>
  <c r="H10" i="1"/>
  <c r="E5" i="1"/>
  <c r="D7" i="1" a="1"/>
  <c r="L4" i="1"/>
  <c r="H4" i="1"/>
  <c r="D10" i="1" a="1"/>
  <c r="L12" i="1"/>
  <c r="G12" i="1"/>
  <c r="F13" i="1"/>
  <c r="H8" i="1"/>
  <c r="E13" i="1"/>
  <c r="B7" i="1"/>
  <c r="H7" i="1"/>
  <c r="D9" i="1" a="1"/>
  <c r="F5" i="1"/>
  <c r="L6" i="1"/>
  <c r="C13" i="1"/>
  <c r="J9" i="1"/>
  <c r="H9" i="1"/>
  <c r="F12" i="1"/>
  <c r="C6" i="1"/>
  <c r="D5" i="1" a="1"/>
  <c r="L8" i="1"/>
  <c r="J6" i="1"/>
  <c r="B8" i="1"/>
  <c r="G13" i="1"/>
  <c r="G4" i="1"/>
  <c r="C8" i="1"/>
  <c r="F11" i="1"/>
  <c r="H5" i="1"/>
  <c r="B13" i="1"/>
  <c r="L11" i="1"/>
  <c r="J12" i="1"/>
  <c r="J11" i="1"/>
  <c r="F9" i="1"/>
  <c r="E6" i="1"/>
  <c r="E4" i="1"/>
  <c r="D12" i="1" a="1"/>
  <c r="G11" i="1"/>
  <c r="B6" i="1"/>
  <c r="B11" i="1"/>
  <c r="F4" i="1"/>
  <c r="B4" i="1"/>
  <c r="D11" i="1" a="1"/>
  <c r="H12" i="1"/>
  <c r="G10" i="1"/>
  <c r="D10" i="1" l="1"/>
  <c r="D9" i="1"/>
  <c r="I9" i="1" s="1"/>
  <c r="D11" i="1"/>
  <c r="D8" i="1"/>
  <c r="I8" i="1" s="1"/>
  <c r="D12" i="1"/>
  <c r="D7" i="1"/>
  <c r="I7" i="1" s="1"/>
  <c r="D6" i="1"/>
  <c r="I6" i="1" s="1"/>
  <c r="D13" i="1"/>
  <c r="D5" i="1"/>
  <c r="I5" i="1" s="1"/>
  <c r="D4" i="1"/>
  <c r="I4" i="1" s="1"/>
  <c r="J21" i="11"/>
  <c r="G21" i="8"/>
  <c r="J21" i="8"/>
  <c r="I13" i="1"/>
  <c r="G14" i="1"/>
  <c r="J14" i="1"/>
  <c r="B17" i="1" s="1"/>
  <c r="C14" i="1"/>
  <c r="I12" i="1"/>
  <c r="L14" i="1"/>
  <c r="B19" i="1" s="1"/>
  <c r="H14" i="1"/>
  <c r="K14" i="1"/>
  <c r="B18" i="1" s="1"/>
  <c r="E14" i="1"/>
  <c r="B21" i="1" s="1"/>
  <c r="B14" i="1"/>
  <c r="I10" i="1"/>
  <c r="F14" i="1"/>
  <c r="I11" i="1"/>
  <c r="D14" i="1" l="1"/>
  <c r="B20" i="1" s="1"/>
  <c r="I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<sst xmlns="http://schemas.openxmlformats.org/spreadsheetml/2006/main" count="141" uniqueCount="52">
  <si>
    <t>STIG NIST Mapping - Compliance Dashboard</t>
  </si>
  <si>
    <t>System Name</t>
  </si>
  <si>
    <t>Total Findings</t>
  </si>
  <si>
    <t>Open</t>
  </si>
  <si>
    <t>Not a Finding</t>
  </si>
  <si>
    <t>Not Reviewed</t>
  </si>
  <si>
    <t>High</t>
  </si>
  <si>
    <t>Medium</t>
  </si>
  <si>
    <t>Low</t>
  </si>
  <si>
    <t>Compliance %</t>
  </si>
  <si>
    <t>Open High</t>
  </si>
  <si>
    <t>Open Medium</t>
  </si>
  <si>
    <t>Open Low</t>
  </si>
  <si>
    <t>TOTALS</t>
  </si>
  <si>
    <t>Severity &amp; Status Breakdown</t>
  </si>
  <si>
    <t>CAT I Open (High)</t>
  </si>
  <si>
    <t>CAT II Open (Medium)</t>
  </si>
  <si>
    <t>CAT III Open (Low)</t>
  </si>
  <si>
    <t>Number</t>
  </si>
  <si>
    <t>AC</t>
  </si>
  <si>
    <t>AU</t>
  </si>
  <si>
    <t>CM</t>
  </si>
  <si>
    <t>IA</t>
  </si>
  <si>
    <t>MA</t>
  </si>
  <si>
    <t>SC</t>
  </si>
  <si>
    <t>SI</t>
  </si>
  <si>
    <t>ALL CONTROL FAMILIES - COMPLIANCE SUMMARY</t>
  </si>
  <si>
    <t>Control
Family</t>
  </si>
  <si>
    <t>Controls</t>
  </si>
  <si>
    <t>Subcontrols</t>
  </si>
  <si>
    <t>Total</t>
  </si>
  <si>
    <t>Not Applicable /
Tailored Out</t>
  </si>
  <si>
    <t>Total Applicable</t>
  </si>
  <si>
    <t>Compliant</t>
  </si>
  <si>
    <t>Partially
Compliant</t>
  </si>
  <si>
    <t>Planned /
Not Compliant</t>
  </si>
  <si>
    <t>Percentage
Compliant</t>
  </si>
  <si>
    <t>AT</t>
  </si>
  <si>
    <t>CA</t>
  </si>
  <si>
    <t>CP</t>
  </si>
  <si>
    <t>IR</t>
  </si>
  <si>
    <t>MP</t>
  </si>
  <si>
    <t>PE</t>
  </si>
  <si>
    <t>PL</t>
  </si>
  <si>
    <t>PS</t>
  </si>
  <si>
    <t>RA</t>
  </si>
  <si>
    <t>SA</t>
  </si>
  <si>
    <t>PM</t>
  </si>
  <si>
    <t>TOTAL</t>
  </si>
  <si>
    <t>CAT I (HIGH CRITICALITY) CONTROLS</t>
  </si>
  <si>
    <t>CAT II (MEDIUM CRITICALITY) CONTROLS</t>
  </si>
  <si>
    <t>CAT III (LOW CRITICALITY)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</si>
</sst>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2"/>
      <name val="Cambria"/>
      <charset val="1"/>
    </font>
    <font>
      <sz val="10"/>
      <name val="Cambria"/>
      <charset val="1"/>
    </font>
    <font>
      <sz val="11"/>
      <color theme="1"/>
      <name val="Calibri"/>
      <family val="2"/>
      <charset val="1"/>
    </font>
    <font>
      <b/>
      <sz val="14"/>
      <color rgb="FF1F4E78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4"/>
      <color rgb="FFC00000"/>
      <name val="Cambria"/>
      <family val="1"/>
    </font>
    <font>
      <b/>
      <sz val="11"/>
      <color theme="1"/>
      <name val="Calibri"/>
      <family val="2"/>
      <charset val="1"/>
    </font>
    <font>
      <sz val="11"/>
      <name val="Cambria"/>
      <family val="1"/>
    </font>
    <font>
      <b/>
      <sz val="11"/>
      <color theme="1"/>
      <name val="Calibri"/>
      <family val="2"/>
    </font>
    <font>
      <b/>
      <sz val="14"/>
      <color rgb="FFFF6600"/>
      <name val="Cambria"/>
      <family val="1"/>
    </font>
    <font>
      <b/>
      <sz val="14"/>
      <color rgb="FF538135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4F81BD"/>
      </patternFill>
    </fill>
    <fill>
      <patternFill patternType="solid">
        <fgColor rgb="FFE7E6E6"/>
        <bgColor rgb="FFD9E1F2"/>
      </patternFill>
    </fill>
    <fill>
      <patternFill patternType="solid">
        <fgColor rgb="FFC00000"/>
        <bgColor rgb="FF800000"/>
      </patternFill>
    </fill>
    <fill>
      <patternFill patternType="solid">
        <fgColor theme="0"/>
        <bgColor rgb="FF99CC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00"/>
        <bgColor rgb="FFFF99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AD47"/>
        <bgColor rgb="FF53813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7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/>
    <xf numFmtId="0" fontId="3" fillId="3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1" fontId="0" fillId="0" borderId="1" xfId="0" applyNumberFormat="1" applyBorder="1" applyAlignment="1"/>
    <xf numFmtId="164" fontId="0" fillId="0" borderId="1" xfId="0" applyNumberFormat="1" applyBorder="1" applyAlignment="1"/>
    <xf numFmtId="0" fontId="4" fillId="4" borderId="1" xfId="0" applyFont="1" applyFill="1" applyBorder="1" applyAlignment="1"/>
    <xf numFmtId="1" fontId="4" fillId="4" borderId="1" xfId="0" applyNumberFormat="1" applyFont="1" applyFill="1" applyBorder="1" applyAlignment="1"/>
    <xf numFmtId="164" fontId="4" fillId="4" borderId="1" xfId="0" applyNumberFormat="1" applyFont="1" applyFill="1" applyBorder="1" applyAlignment="1"/>
    <xf numFmtId="0" fontId="5" fillId="0" borderId="0" xfId="0" applyFont="1" applyAlignment="1"/>
    <xf numFmtId="0" fontId="3" fillId="3" borderId="0" xfId="0" applyFont="1" applyFill="1"/>
    <xf numFmtId="0" fontId="6" fillId="0" borderId="0" xfId="0" applyFont="1"/>
    <xf numFmtId="1" fontId="0" fillId="0" borderId="0" xfId="0" applyNumberForma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9" fontId="14" fillId="11" borderId="1" xfId="2" applyFont="1" applyFill="1" applyBorder="1" applyAlignment="1">
      <alignment horizontal="center" vertical="center"/>
    </xf>
    <xf numFmtId="9" fontId="14" fillId="7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9" fontId="14" fillId="12" borderId="1" xfId="0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13" fillId="6" borderId="1" xfId="2" applyFont="1" applyFill="1" applyBorder="1" applyAlignment="1">
      <alignment horizontal="center" vertical="center"/>
    </xf>
    <xf numFmtId="9" fontId="14" fillId="9" borderId="1" xfId="2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15" fillId="0" borderId="0" xfId="0" applyFont="1"/>
    <xf numFmtId="0" fontId="16" fillId="0" borderId="0" xfId="0" applyFont="1"/>
  </cellXfs>
  <cellStyles count="3">
    <cellStyle name="Normal" xfId="0" builtinId="0"/>
    <cellStyle name="Normal 2" xfId="1" xr:uid="{CAE15207-B5DA-41EE-9788-001E27DC8F20}"/>
    <cellStyle name="Percent" xfId="2" builtinId="5"/>
  </cellStyles>
  <dxfs count="2"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C0504D"/>
      <rgbColor rgb="FFE7E6E6"/>
      <rgbColor rgb="FFD9E1F2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BBB59"/>
      <rgbColor rgb="FFFFD43B"/>
      <rgbColor rgb="FFFAB005"/>
      <rgbColor rgb="FFFD7E14"/>
      <rgbColor rgb="FF8064A2"/>
      <rgbColor rgb="FF969696"/>
      <rgbColor rgb="FF003366"/>
      <rgbColor rgb="FF51CF66"/>
      <rgbColor rgb="FF003300"/>
      <rgbColor rgb="FF333300"/>
      <rgbColor rgb="FFE03131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Status Breakdown by System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Dashboard!$C$3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FF6B6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Dashboard!$A$4:$A$13</c:f>
              <c:numCache>
                <c:formatCode>General</c:formatCode>
                <c:ptCount val="10"/>
              </c:numCache>
            </c:numRef>
          </c:cat>
          <c:val>
            <c:numRef>
              <c:f>Dashboard!$C$4:$C$13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1-4871-B6E0-2B1F22BC7792}"/>
            </c:ext>
          </c:extLst>
        </c:ser>
        <c:ser>
          <c:idx val="1"/>
          <c:order val="1"/>
          <c:tx>
            <c:strRef>
              <c:f>Dashboard!$D$3</c:f>
              <c:strCache>
                <c:ptCount val="1"/>
                <c:pt idx="0">
                  <c:v>Not a Finding</c:v>
                </c:pt>
              </c:strCache>
            </c:strRef>
          </c:tx>
          <c:spPr>
            <a:solidFill>
              <a:srgbClr val="51CF6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Dashboard!$A$4:$A$13</c:f>
              <c:numCache>
                <c:formatCode>General</c:formatCode>
                <c:ptCount val="10"/>
              </c:numCache>
            </c:numRef>
          </c:cat>
          <c:val>
            <c:numRef>
              <c:f>Dashboard!$D$4:$D$13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1-4871-B6E0-2B1F22BC7792}"/>
            </c:ext>
          </c:extLst>
        </c:ser>
        <c:ser>
          <c:idx val="2"/>
          <c:order val="2"/>
          <c:tx>
            <c:strRef>
              <c:f>Dashboard!$E$3</c:f>
              <c:strCache>
                <c:ptCount val="1"/>
                <c:pt idx="0">
                  <c:v>Not Reviewed</c:v>
                </c:pt>
              </c:strCache>
            </c:strRef>
          </c:tx>
          <c:spPr>
            <a:solidFill>
              <a:srgbClr val="FFD43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Dashboard!$A$4:$A$13</c:f>
              <c:numCache>
                <c:formatCode>General</c:formatCode>
                <c:ptCount val="10"/>
              </c:numCache>
            </c:numRef>
          </c:cat>
          <c:val>
            <c:numRef>
              <c:f>Dashboard!$E$4:$E$13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1-4871-B6E0-2B1F22BC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13251"/>
        <c:axId val="49714972"/>
      </c:barChart>
      <c:catAx>
        <c:axId val="456132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Systems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714972"/>
        <c:crosses val="autoZero"/>
        <c:auto val="1"/>
        <c:lblAlgn val="ctr"/>
        <c:lblOffset val="100"/>
        <c:noMultiLvlLbl val="0"/>
      </c:catAx>
      <c:valAx>
        <c:axId val="497149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Findings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132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8575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Open Items by Severity (Priority View)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Dashboard!$J$3</c:f>
              <c:strCache>
                <c:ptCount val="1"/>
                <c:pt idx="0">
                  <c:v>Open High</c:v>
                </c:pt>
              </c:strCache>
            </c:strRef>
          </c:tx>
          <c:spPr>
            <a:solidFill>
              <a:srgbClr val="E031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Dashboard!$A$4:$A$13</c:f>
              <c:numCache>
                <c:formatCode>General</c:formatCode>
                <c:ptCount val="10"/>
              </c:numCache>
            </c:numRef>
          </c:cat>
          <c:val>
            <c:numRef>
              <c:f>Dashboard!$J$4:$J$13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F-4F13-9869-92A39A996169}"/>
            </c:ext>
          </c:extLst>
        </c:ser>
        <c:ser>
          <c:idx val="1"/>
          <c:order val="1"/>
          <c:tx>
            <c:strRef>
              <c:f>Dashboard!$K$3</c:f>
              <c:strCache>
                <c:ptCount val="1"/>
                <c:pt idx="0">
                  <c:v>Open Medium</c:v>
                </c:pt>
              </c:strCache>
            </c:strRef>
          </c:tx>
          <c:spPr>
            <a:solidFill>
              <a:srgbClr val="FD7E1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Dashboard!$A$4:$A$13</c:f>
              <c:numCache>
                <c:formatCode>General</c:formatCode>
                <c:ptCount val="10"/>
              </c:numCache>
            </c:numRef>
          </c:cat>
          <c:val>
            <c:numRef>
              <c:f>Dashboard!$K$4:$K$13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F-4F13-9869-92A39A996169}"/>
            </c:ext>
          </c:extLst>
        </c:ser>
        <c:ser>
          <c:idx val="2"/>
          <c:order val="2"/>
          <c:tx>
            <c:strRef>
              <c:f>Dashboard!$L$3</c:f>
              <c:strCache>
                <c:ptCount val="1"/>
                <c:pt idx="0">
                  <c:v>Open Low</c:v>
                </c:pt>
              </c:strCache>
            </c:strRef>
          </c:tx>
          <c:spPr>
            <a:solidFill>
              <a:srgbClr val="FAB00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Dashboard!$A$4:$A$13</c:f>
              <c:numCache>
                <c:formatCode>General</c:formatCode>
                <c:ptCount val="10"/>
              </c:numCache>
            </c:numRef>
          </c:cat>
          <c:val>
            <c:numRef>
              <c:f>Dashboard!$L$4:$L$13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3F-4F13-9869-92A39A996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82269"/>
        <c:axId val="94919076"/>
      </c:barChart>
      <c:catAx>
        <c:axId val="592822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Systems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19076"/>
        <c:crosses val="autoZero"/>
        <c:auto val="1"/>
        <c:lblAlgn val="ctr"/>
        <c:lblOffset val="100"/>
        <c:noMultiLvlLbl val="0"/>
      </c:catAx>
      <c:valAx>
        <c:axId val="949190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Open Findings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282269"/>
        <c:crosses val="autoZero"/>
        <c:crossBetween val="between"/>
      </c:valAx>
      <c:spPr>
        <a:noFill/>
        <a:ln w="0">
          <a:solidFill>
            <a:sysClr val="windowText" lastClr="000000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8575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Compliance % by System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321513166467548"/>
          <c:y val="0.14810885000131971"/>
          <c:w val="0.45950515077228093"/>
          <c:h val="0.688674493264597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Dashboard!$I$3</c:f>
              <c:strCache>
                <c:ptCount val="1"/>
                <c:pt idx="0">
                  <c:v>Compliance %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Dashboard!$A$4:$A$13</c:f>
              <c:numCache>
                <c:formatCode>General</c:formatCode>
                <c:ptCount val="10"/>
              </c:numCache>
            </c:numRef>
          </c:cat>
          <c:val>
            <c:numRef>
              <c:f>Dashboard!$I$4:$I$13</c:f>
              <c:numCache>
                <c:formatCode>0.0\%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C-48F7-9F79-65FA0DDD7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217580"/>
        <c:axId val="15744626"/>
      </c:barChart>
      <c:catAx>
        <c:axId val="8421758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44626"/>
        <c:crosses val="autoZero"/>
        <c:auto val="1"/>
        <c:lblAlgn val="ctr"/>
        <c:lblOffset val="100"/>
        <c:noMultiLvlLbl val="0"/>
      </c:catAx>
      <c:valAx>
        <c:axId val="1574462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Systems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2175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CAT/Severity Status Overview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3A7-4D4A-B835-7358A8F76FD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3A7-4D4A-B835-7358A8F76FD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3A7-4D4A-B835-7358A8F76FD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F3A7-4D4A-B835-7358A8F76FDF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F3A7-4D4A-B835-7358A8F76FD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A7-4D4A-B835-7358A8F76FD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A7-4D4A-B835-7358A8F76FD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A7-4D4A-B835-7358A8F76FD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A7-4D4A-B835-7358A8F76FD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A7-4D4A-B835-7358A8F76F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Dashboard!$A$17:$A$21</c:f>
              <c:strCache>
                <c:ptCount val="5"/>
                <c:pt idx="0">
                  <c:v>CAT I Open (High)</c:v>
                </c:pt>
                <c:pt idx="1">
                  <c:v>CAT II Open (Medium)</c:v>
                </c:pt>
                <c:pt idx="2">
                  <c:v>CAT III Open (Low)</c:v>
                </c:pt>
                <c:pt idx="3">
                  <c:v>Not a Finding</c:v>
                </c:pt>
                <c:pt idx="4">
                  <c:v>Not Reviewed</c:v>
                </c:pt>
              </c:strCache>
            </c:strRef>
          </c:cat>
          <c:val>
            <c:numRef>
              <c:f>Dashboard!$B$17:$B$21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A7-4D4A-B835-7358A8F76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28575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Percentage
Compliant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Compliance!$J$2</c:f>
              <c:strCache>
                <c:ptCount val="1"/>
                <c:pt idx="0">
                  <c:v>Percentage
Compliant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Compliance!$A$3:$A$20</c:f>
              <c:strCache>
                <c:ptCount val="18"/>
                <c:pt idx="0">
                  <c:v>AC</c:v>
                </c:pt>
                <c:pt idx="1">
                  <c:v>AT</c:v>
                </c:pt>
                <c:pt idx="2">
                  <c:v>AU</c:v>
                </c:pt>
                <c:pt idx="3">
                  <c:v>CA</c:v>
                </c:pt>
                <c:pt idx="4">
                  <c:v>CM</c:v>
                </c:pt>
                <c:pt idx="5">
                  <c:v>CP</c:v>
                </c:pt>
                <c:pt idx="6">
                  <c:v>IA</c:v>
                </c:pt>
                <c:pt idx="7">
                  <c:v>IR</c:v>
                </c:pt>
                <c:pt idx="8">
                  <c:v>MA</c:v>
                </c:pt>
                <c:pt idx="9">
                  <c:v>MP</c:v>
                </c:pt>
                <c:pt idx="10">
                  <c:v>PE</c:v>
                </c:pt>
                <c:pt idx="11">
                  <c:v>PL</c:v>
                </c:pt>
                <c:pt idx="12">
                  <c:v>PS</c:v>
                </c:pt>
                <c:pt idx="13">
                  <c:v>RA</c:v>
                </c:pt>
                <c:pt idx="14">
                  <c:v>SA</c:v>
                </c:pt>
                <c:pt idx="15">
                  <c:v>SC</c:v>
                </c:pt>
                <c:pt idx="16">
                  <c:v>SI</c:v>
                </c:pt>
                <c:pt idx="17">
                  <c:v>PM</c:v>
                </c:pt>
              </c:strCache>
            </c:strRef>
          </c:cat>
          <c:val>
            <c:numRef>
              <c:f>Compliance!$J$3:$J$20</c:f>
              <c:numCache>
                <c:formatCode>0%</c:formatCode>
                <c:ptCount val="18"/>
                <c:pt idx="0">
                  <c:v>3.2258064516129031E-2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3.8461538461538464E-2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1.8867924528301886E-2</c:v>
                </c:pt>
                <c:pt idx="16">
                  <c:v>2.6315789473684209E-2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9-42FD-9361-DD15D0CCA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009216"/>
        <c:axId val="1937011136"/>
      </c:barChart>
      <c:catAx>
        <c:axId val="193700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011136"/>
        <c:crosses val="autoZero"/>
        <c:auto val="1"/>
        <c:lblAlgn val="ctr"/>
        <c:lblOffset val="100"/>
        <c:noMultiLvlLbl val="0"/>
      </c:catAx>
      <c:valAx>
        <c:axId val="193701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00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793701865295583"/>
          <c:y val="0.90516269752239908"/>
          <c:w val="0.16626137851865025"/>
          <c:h val="7.79774555968717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104775</xdr:colOff>
      <xdr:row>1</xdr:row>
      <xdr:rowOff>0</xdr:rowOff>
    </xdr:from>
    <xdr:to>
      <xdr:col>23</xdr:col>
      <xdr:colOff>577455</xdr:colOff>
      <xdr:row>16</xdr:row>
      <xdr:rowOff>237180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133350</xdr:colOff>
      <xdr:row>16</xdr:row>
      <xdr:rowOff>323850</xdr:rowOff>
    </xdr:from>
    <xdr:to>
      <xdr:col>24</xdr:col>
      <xdr:colOff>25005</xdr:colOff>
      <xdr:row>26</xdr:row>
      <xdr:rowOff>170280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285750</xdr:colOff>
      <xdr:row>25</xdr:row>
      <xdr:rowOff>142875</xdr:rowOff>
    </xdr:from>
    <xdr:to>
      <xdr:col>11</xdr:col>
      <xdr:colOff>285750</xdr:colOff>
      <xdr:row>44</xdr:row>
      <xdr:rowOff>122640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285750</xdr:colOff>
      <xdr:row>15</xdr:row>
      <xdr:rowOff>0</xdr:rowOff>
    </xdr:from>
    <xdr:to>
      <xdr:col>11</xdr:col>
      <xdr:colOff>285750</xdr:colOff>
      <xdr:row>25</xdr:row>
      <xdr:rowOff>61845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152400</xdr:rowOff>
    </xdr:from>
    <xdr:to>
      <xdr:col>11</xdr:col>
      <xdr:colOff>457200</xdr:colOff>
      <xdr:row>29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042C41-800C-2390-FB51-99310384A601}"/>
            </a:ext>
          </a:extLst>
        </xdr:cNvPr>
        <xdr:cNvSpPr txBox="1"/>
      </xdr:nvSpPr>
      <xdr:spPr>
        <a:xfrm>
          <a:off x="619125" y="533400"/>
          <a:ext cx="6543675" cy="512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u="sng"/>
            <a:t>Dashboard Instructions:</a:t>
          </a:r>
        </a:p>
        <a:p>
          <a:r>
            <a:rPr lang="en-US" sz="1100"/>
            <a:t>1.</a:t>
          </a:r>
          <a:r>
            <a:rPr lang="en-US" sz="1100" baseline="0"/>
            <a:t> Using the POAM tool, export the data as the excel spreadsheet. All the formatting will take place and should be standardized.</a:t>
          </a:r>
        </a:p>
        <a:p>
          <a:pPr lvl="1"/>
          <a:r>
            <a:rPr lang="en-US" sz="1100" baseline="0"/>
            <a:t>A. </a:t>
          </a:r>
          <a:r>
            <a:rPr lang="en-US" sz="1100" i="1" baseline="0"/>
            <a:t>The POAM tool is an html script that enables the user to import STIG ckl/cklb files from scan data. The user can then import the U_CCI_List.xml and produce a STIG to NIST control mapping of that scan information. You must then combine all of those exported excel sheets here.</a:t>
          </a:r>
        </a:p>
        <a:p>
          <a:r>
            <a:rPr lang="en-US" sz="1100" baseline="0"/>
            <a:t>2. Take that exported spreadsheet, create a new tab/sheet in this workbook named after the system.</a:t>
          </a:r>
        </a:p>
        <a:p>
          <a:r>
            <a:rPr lang="en-US" sz="1100" baseline="0"/>
            <a:t>3. Copy the contents of the export into the new tab.</a:t>
          </a:r>
        </a:p>
        <a:p>
          <a:r>
            <a:rPr lang="en-US" sz="1100" baseline="0"/>
            <a:t>4. Update the dashboard "System Name" column with the name of that sheet/tab. </a:t>
          </a:r>
        </a:p>
        <a:p>
          <a:r>
            <a:rPr lang="en-US" sz="1100" baseline="0"/>
            <a:t>5. The workbook should automatically update with the new information.</a:t>
          </a:r>
        </a:p>
        <a:p>
          <a:r>
            <a:rPr lang="en-US" sz="1100" baseline="0"/>
            <a:t>6. Now you have a compliance overview. 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400" u="sng"/>
            <a:t>NIST Compliance Instructions</a:t>
          </a:r>
        </a:p>
        <a:p>
          <a:r>
            <a:rPr lang="en-US" sz="1100" u="none"/>
            <a:t>1.</a:t>
          </a:r>
          <a:r>
            <a:rPr lang="en-US" sz="1100" u="none" baseline="0"/>
            <a:t> This requires you to manually input the data from each system for now.</a:t>
          </a:r>
          <a:endParaRPr lang="en-US" sz="1100" u="non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1</xdr:row>
      <xdr:rowOff>33336</xdr:rowOff>
    </xdr:from>
    <xdr:to>
      <xdr:col>26</xdr:col>
      <xdr:colOff>428625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9AD98A-E2CC-9C71-0101-77FDDAC22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944BF-A085-4F08-9F49-07847BB87B2B}" name="Table1" displayName="Table1" ref="A16:B21" totalsRowShown="0">
  <autoFilter ref="A16:B21" xr:uid="{3DF944BF-A085-4F08-9F49-07847BB87B2B}"/>
  <tableColumns count="2">
    <tableColumn id="1" xr3:uid="{108FD3EF-318B-42F7-9A41-27ACAA813A58}" name="Severity &amp; Status Breakdown" dataDxfId="1"/>
    <tableColumn id="2" xr3:uid="{59FD59D2-3C81-4577-AC6E-D9DF6477AE77}" name="Num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Normal="100" workbookViewId="0">
      <selection activeCell="AA17" sqref="AA17"/>
    </sheetView>
  </sheetViews>
  <sheetFormatPr defaultColWidth="8.7109375" defaultRowHeight="15" x14ac:dyDescent="0.25"/>
  <cols>
    <col min="1" max="1" width="20" style="1" customWidth="1"/>
    <col min="2" max="2" width="22.7109375" style="1" customWidth="1"/>
    <col min="3" max="3" width="11" style="1" customWidth="1"/>
    <col min="4" max="4" width="14.42578125" style="1" bestFit="1" customWidth="1"/>
    <col min="5" max="5" width="15" style="1" bestFit="1" customWidth="1"/>
    <col min="6" max="8" width="10" style="1" customWidth="1"/>
    <col min="9" max="9" width="15.7109375" style="1" bestFit="1" customWidth="1"/>
    <col min="10" max="10" width="11.5703125" style="1" bestFit="1" customWidth="1"/>
    <col min="11" max="11" width="15.140625" style="1" bestFit="1" customWidth="1"/>
    <col min="12" max="12" width="12" style="1" customWidth="1"/>
  </cols>
  <sheetData>
    <row r="1" spans="1:12" ht="30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spans="1:12" ht="1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5">
      <c r="A4" s="3"/>
      <c r="B4" s="4">
        <f t="shared" ref="B4:B13" ca="1" si="0">IF(ISREF(INDIRECT(A4&amp;"!I:I")),COUNTA(INDIRECT(A4&amp;"!I:I"))-1,0)</f>
        <v>0</v>
      </c>
      <c r="C4" s="4">
        <f t="shared" ref="C4:C13" ca="1" si="1">IF(ISREF(INDIRECT(A4&amp;"!I:I")),COUNTIF(INDIRECT(A4&amp;"!I:I"),"open"),0)</f>
        <v>0</v>
      </c>
      <c r="D4" s="4" cm="1">
        <f t="array" aca="1" ref="D4" ca="1">IF(ISREF(INDIRECT(A4&amp;"!I:I")),SUMPRODUCT(COUNTIF(INDIRECT(A4&amp;"!I:I"),{"not_a_finding","notafinding"})),0)</f>
        <v>0</v>
      </c>
      <c r="E4" s="4">
        <f t="shared" ref="E4:E13" ca="1" si="2">IF(ISREF(INDIRECT(A4&amp;"!I:I")),COUNTIF(INDIRECT(A4&amp;"!I:I"),"not_reviewed"),0)</f>
        <v>0</v>
      </c>
      <c r="F4" s="4">
        <f t="shared" ref="F4:F13" ca="1" si="3">IF(ISREF(INDIRECT(A4&amp;"!H:H")),COUNTIF(INDIRECT(A4&amp;"!H:H"),"high"),0)</f>
        <v>0</v>
      </c>
      <c r="G4" s="4">
        <f t="shared" ref="G4:G13" ca="1" si="4">IF(ISREF(INDIRECT(A4&amp;"!H:H")),COUNTIF(INDIRECT(A4&amp;"!H:H"),"medium"),0)</f>
        <v>0</v>
      </c>
      <c r="H4" s="4">
        <f t="shared" ref="H4:H13" ca="1" si="5">IF(ISREF(INDIRECT(A4&amp;"!H:H")),COUNTIF(INDIRECT(A4&amp;"!H:H"),"low"),0)</f>
        <v>0</v>
      </c>
      <c r="I4" s="5">
        <f ca="1">IF(B4&gt;0,ROUND((D4/B4)*100,1),0)</f>
        <v>0</v>
      </c>
      <c r="J4" s="4">
        <f t="shared" ref="J4:J13" ca="1" si="6">IF(ISREF(INDIRECT(A4&amp;"!I:I")),COUNTIFS(INDIRECT(A4&amp;"!I:I"),"open",INDIRECT(A4&amp;"!H:H"),"high"),0)</f>
        <v>0</v>
      </c>
      <c r="K4" s="4">
        <f t="shared" ref="K4:K13" ca="1" si="7">IF(ISREF(INDIRECT(A4&amp;"!I:I")),COUNTIFS(INDIRECT(A4&amp;"!I:I"),"open",INDIRECT(A4&amp;"!H:H"),"medium"),0)</f>
        <v>0</v>
      </c>
      <c r="L4" s="4">
        <f t="shared" ref="L4:L13" ca="1" si="8">IF(ISREF(INDIRECT(A4&amp;"!I:I")),COUNTIFS(INDIRECT(A4&amp;"!I:I"),"open",INDIRECT(A4&amp;"!H:H"),"low"),0)</f>
        <v>0</v>
      </c>
    </row>
    <row r="5" spans="1:12" ht="15" customHeight="1" x14ac:dyDescent="0.25">
      <c r="A5" s="3"/>
      <c r="B5" s="4">
        <f t="shared" ca="1" si="0"/>
        <v>0</v>
      </c>
      <c r="C5" s="4">
        <f t="shared" ca="1" si="1"/>
        <v>0</v>
      </c>
      <c r="D5" s="4" cm="1">
        <f t="array" aca="1" ref="D5" ca="1">IF(ISREF(INDIRECT(A5&amp;"!I:I")),SUMPRODUCT(COUNTIF(INDIRECT(A5&amp;"!I:I"),{"not_a_finding","notafinding"})),0)</f>
        <v>0</v>
      </c>
      <c r="E5" s="4">
        <f t="shared" ca="1" si="2"/>
        <v>0</v>
      </c>
      <c r="F5" s="4">
        <f t="shared" ca="1" si="3"/>
        <v>0</v>
      </c>
      <c r="G5" s="4">
        <f t="shared" ca="1" si="4"/>
        <v>0</v>
      </c>
      <c r="H5" s="4">
        <f t="shared" ca="1" si="5"/>
        <v>0</v>
      </c>
      <c r="I5" s="5">
        <f t="shared" ref="I5:I14" ca="1" si="9">IF(B5&gt;0,ROUND((D5/B5)*100,1),0)</f>
        <v>0</v>
      </c>
      <c r="J5" s="4">
        <f t="shared" ca="1" si="6"/>
        <v>0</v>
      </c>
      <c r="K5" s="4">
        <f t="shared" ca="1" si="7"/>
        <v>0</v>
      </c>
      <c r="L5" s="4">
        <f t="shared" ca="1" si="8"/>
        <v>0</v>
      </c>
    </row>
    <row r="6" spans="1:12" ht="15" customHeight="1" x14ac:dyDescent="0.25">
      <c r="A6" s="3"/>
      <c r="B6" s="4">
        <f t="shared" ca="1" si="0"/>
        <v>0</v>
      </c>
      <c r="C6" s="4">
        <f t="shared" ca="1" si="1"/>
        <v>0</v>
      </c>
      <c r="D6" s="4" cm="1">
        <f t="array" aca="1" ref="D6" ca="1">IF(ISREF(INDIRECT(A6&amp;"!I:I")),SUMPRODUCT(COUNTIF(INDIRECT(A6&amp;"!I:I"),{"not_a_finding","notafinding"})),0)</f>
        <v>0</v>
      </c>
      <c r="E6" s="4">
        <f t="shared" ca="1" si="2"/>
        <v>0</v>
      </c>
      <c r="F6" s="4">
        <f t="shared" ca="1" si="3"/>
        <v>0</v>
      </c>
      <c r="G6" s="4">
        <f t="shared" ca="1" si="4"/>
        <v>0</v>
      </c>
      <c r="H6" s="4">
        <f t="shared" ca="1" si="5"/>
        <v>0</v>
      </c>
      <c r="I6" s="5">
        <f t="shared" ca="1" si="9"/>
        <v>0</v>
      </c>
      <c r="J6" s="4">
        <f t="shared" ca="1" si="6"/>
        <v>0</v>
      </c>
      <c r="K6" s="4">
        <f t="shared" ca="1" si="7"/>
        <v>0</v>
      </c>
      <c r="L6" s="4">
        <f t="shared" ca="1" si="8"/>
        <v>0</v>
      </c>
    </row>
    <row r="7" spans="1:12" ht="15" customHeight="1" x14ac:dyDescent="0.25">
      <c r="A7" s="3"/>
      <c r="B7" s="4">
        <f t="shared" ca="1" si="0"/>
        <v>0</v>
      </c>
      <c r="C7" s="4">
        <f t="shared" ca="1" si="1"/>
        <v>0</v>
      </c>
      <c r="D7" s="4" cm="1">
        <f t="array" aca="1" ref="D7" ca="1">IF(ISREF(INDIRECT(A7&amp;"!I:I")),SUMPRODUCT(COUNTIF(INDIRECT(A7&amp;"!I:I"),{"not_a_finding","notafinding"})),0)</f>
        <v>0</v>
      </c>
      <c r="E7" s="4">
        <f t="shared" ca="1" si="2"/>
        <v>0</v>
      </c>
      <c r="F7" s="4">
        <f t="shared" ca="1" si="3"/>
        <v>0</v>
      </c>
      <c r="G7" s="4">
        <f t="shared" ca="1" si="4"/>
        <v>0</v>
      </c>
      <c r="H7" s="4">
        <f t="shared" ca="1" si="5"/>
        <v>0</v>
      </c>
      <c r="I7" s="5">
        <f t="shared" ca="1" si="9"/>
        <v>0</v>
      </c>
      <c r="J7" s="4">
        <f t="shared" ca="1" si="6"/>
        <v>0</v>
      </c>
      <c r="K7" s="4">
        <f t="shared" ca="1" si="7"/>
        <v>0</v>
      </c>
      <c r="L7" s="4">
        <f t="shared" ca="1" si="8"/>
        <v>0</v>
      </c>
    </row>
    <row r="8" spans="1:12" ht="15" customHeight="1" x14ac:dyDescent="0.25">
      <c r="A8" s="3"/>
      <c r="B8" s="4">
        <f t="shared" ca="1" si="0"/>
        <v>0</v>
      </c>
      <c r="C8" s="4">
        <f t="shared" ca="1" si="1"/>
        <v>0</v>
      </c>
      <c r="D8" s="4" cm="1">
        <f t="array" aca="1" ref="D8" ca="1">IF(ISREF(INDIRECT(A8&amp;"!I:I")),SUMPRODUCT(COUNTIF(INDIRECT(A8&amp;"!I:I"),{"not_a_finding","notafinding"})),0)</f>
        <v>0</v>
      </c>
      <c r="E8" s="4">
        <f t="shared" ca="1" si="2"/>
        <v>0</v>
      </c>
      <c r="F8" s="4">
        <f t="shared" ca="1" si="3"/>
        <v>0</v>
      </c>
      <c r="G8" s="4">
        <f t="shared" ca="1" si="4"/>
        <v>0</v>
      </c>
      <c r="H8" s="4">
        <f t="shared" ca="1" si="5"/>
        <v>0</v>
      </c>
      <c r="I8" s="5">
        <f t="shared" ca="1" si="9"/>
        <v>0</v>
      </c>
      <c r="J8" s="4">
        <f t="shared" ca="1" si="6"/>
        <v>0</v>
      </c>
      <c r="K8" s="4">
        <f t="shared" ca="1" si="7"/>
        <v>0</v>
      </c>
      <c r="L8" s="4">
        <f t="shared" ca="1" si="8"/>
        <v>0</v>
      </c>
    </row>
    <row r="9" spans="1:12" ht="15" customHeight="1" x14ac:dyDescent="0.25">
      <c r="A9" s="3"/>
      <c r="B9" s="4">
        <f t="shared" ca="1" si="0"/>
        <v>0</v>
      </c>
      <c r="C9" s="4">
        <f t="shared" ca="1" si="1"/>
        <v>0</v>
      </c>
      <c r="D9" s="4" cm="1">
        <f t="array" aca="1" ref="D9" ca="1">IF(ISREF(INDIRECT(A9&amp;"!I:I")),SUMPRODUCT(COUNTIF(INDIRECT(A9&amp;"!I:I"),{"not_a_finding","notafinding"})),0)</f>
        <v>0</v>
      </c>
      <c r="E9" s="4">
        <f t="shared" ca="1" si="2"/>
        <v>0</v>
      </c>
      <c r="F9" s="4">
        <f t="shared" ca="1" si="3"/>
        <v>0</v>
      </c>
      <c r="G9" s="4">
        <f t="shared" ca="1" si="4"/>
        <v>0</v>
      </c>
      <c r="H9" s="4">
        <f t="shared" ca="1" si="5"/>
        <v>0</v>
      </c>
      <c r="I9" s="5">
        <f t="shared" ca="1" si="9"/>
        <v>0</v>
      </c>
      <c r="J9" s="4">
        <f t="shared" ca="1" si="6"/>
        <v>0</v>
      </c>
      <c r="K9" s="4">
        <f t="shared" ca="1" si="7"/>
        <v>0</v>
      </c>
      <c r="L9" s="4">
        <f t="shared" ca="1" si="8"/>
        <v>0</v>
      </c>
    </row>
    <row r="10" spans="1:12" ht="15" customHeight="1" x14ac:dyDescent="0.25">
      <c r="A10" s="3"/>
      <c r="B10" s="4">
        <f t="shared" ca="1" si="0"/>
        <v>0</v>
      </c>
      <c r="C10" s="4">
        <f t="shared" ca="1" si="1"/>
        <v>0</v>
      </c>
      <c r="D10" s="4" cm="1">
        <f t="array" aca="1" ref="D10" ca="1">IF(ISREF(INDIRECT(A10&amp;"!I:I")),SUMPRODUCT(COUNTIF(INDIRECT(A10&amp;"!I:I"),{"not_a_finding","notafinding"})),0)</f>
        <v>0</v>
      </c>
      <c r="E10" s="4">
        <f t="shared" ca="1" si="2"/>
        <v>0</v>
      </c>
      <c r="F10" s="4">
        <f t="shared" ca="1" si="3"/>
        <v>0</v>
      </c>
      <c r="G10" s="4">
        <f t="shared" ca="1" si="4"/>
        <v>0</v>
      </c>
      <c r="H10" s="4">
        <f t="shared" ca="1" si="5"/>
        <v>0</v>
      </c>
      <c r="I10" s="5">
        <f t="shared" ca="1" si="9"/>
        <v>0</v>
      </c>
      <c r="J10" s="4">
        <f t="shared" ca="1" si="6"/>
        <v>0</v>
      </c>
      <c r="K10" s="4">
        <f t="shared" ca="1" si="7"/>
        <v>0</v>
      </c>
      <c r="L10" s="4">
        <f t="shared" ca="1" si="8"/>
        <v>0</v>
      </c>
    </row>
    <row r="11" spans="1:12" ht="15" customHeight="1" x14ac:dyDescent="0.25">
      <c r="A11" s="3"/>
      <c r="B11" s="4">
        <f t="shared" ca="1" si="0"/>
        <v>0</v>
      </c>
      <c r="C11" s="4">
        <f t="shared" ca="1" si="1"/>
        <v>0</v>
      </c>
      <c r="D11" s="4" cm="1">
        <f t="array" aca="1" ref="D11" ca="1">IF(ISREF(INDIRECT(A11&amp;"!I:I")),SUMPRODUCT(COUNTIF(INDIRECT(A11&amp;"!I:I"),{"not_a_finding","notafinding"})),0)</f>
        <v>0</v>
      </c>
      <c r="E11" s="4">
        <f t="shared" ca="1" si="2"/>
        <v>0</v>
      </c>
      <c r="F11" s="4">
        <f t="shared" ca="1" si="3"/>
        <v>0</v>
      </c>
      <c r="G11" s="4">
        <f t="shared" ca="1" si="4"/>
        <v>0</v>
      </c>
      <c r="H11" s="4">
        <f t="shared" ca="1" si="5"/>
        <v>0</v>
      </c>
      <c r="I11" s="5">
        <f t="shared" ca="1" si="9"/>
        <v>0</v>
      </c>
      <c r="J11" s="4">
        <f t="shared" ca="1" si="6"/>
        <v>0</v>
      </c>
      <c r="K11" s="4">
        <f t="shared" ca="1" si="7"/>
        <v>0</v>
      </c>
      <c r="L11" s="4">
        <f t="shared" ca="1" si="8"/>
        <v>0</v>
      </c>
    </row>
    <row r="12" spans="1:12" ht="15" customHeight="1" x14ac:dyDescent="0.25">
      <c r="A12" s="3"/>
      <c r="B12" s="4">
        <f t="shared" ca="1" si="0"/>
        <v>0</v>
      </c>
      <c r="C12" s="4">
        <f t="shared" ca="1" si="1"/>
        <v>0</v>
      </c>
      <c r="D12" s="4" cm="1">
        <f t="array" aca="1" ref="D12" ca="1">IF(ISREF(INDIRECT(A12&amp;"!I:I")),SUMPRODUCT(COUNTIF(INDIRECT(A12&amp;"!I:I"),{"not_a_finding","notafinding"})),0)</f>
        <v>0</v>
      </c>
      <c r="E12" s="4">
        <f t="shared" ca="1" si="2"/>
        <v>0</v>
      </c>
      <c r="F12" s="4">
        <f t="shared" ca="1" si="3"/>
        <v>0</v>
      </c>
      <c r="G12" s="4">
        <f t="shared" ca="1" si="4"/>
        <v>0</v>
      </c>
      <c r="H12" s="4">
        <f t="shared" ca="1" si="5"/>
        <v>0</v>
      </c>
      <c r="I12" s="5">
        <f t="shared" ca="1" si="9"/>
        <v>0</v>
      </c>
      <c r="J12" s="4">
        <f t="shared" ca="1" si="6"/>
        <v>0</v>
      </c>
      <c r="K12" s="4">
        <f t="shared" ca="1" si="7"/>
        <v>0</v>
      </c>
      <c r="L12" s="4">
        <f t="shared" ca="1" si="8"/>
        <v>0</v>
      </c>
    </row>
    <row r="13" spans="1:12" ht="15" customHeight="1" x14ac:dyDescent="0.25">
      <c r="A13" s="3"/>
      <c r="B13" s="4">
        <f t="shared" ca="1" si="0"/>
        <v>0</v>
      </c>
      <c r="C13" s="4">
        <f t="shared" ca="1" si="1"/>
        <v>0</v>
      </c>
      <c r="D13" s="4" cm="1">
        <f t="array" aca="1" ref="D13" ca="1">IF(ISREF(INDIRECT(A13&amp;"!I:I")),SUMPRODUCT(COUNTIF(INDIRECT(A13&amp;"!I:I"),{"not_a_finding","notafinding"})),0)</f>
        <v>0</v>
      </c>
      <c r="E13" s="4">
        <f t="shared" ca="1" si="2"/>
        <v>0</v>
      </c>
      <c r="F13" s="4">
        <f t="shared" ca="1" si="3"/>
        <v>0</v>
      </c>
      <c r="G13" s="4">
        <f t="shared" ca="1" si="4"/>
        <v>0</v>
      </c>
      <c r="H13" s="4">
        <f t="shared" ca="1" si="5"/>
        <v>0</v>
      </c>
      <c r="I13" s="5">
        <f t="shared" ca="1" si="9"/>
        <v>0</v>
      </c>
      <c r="J13" s="4">
        <f t="shared" ca="1" si="6"/>
        <v>0</v>
      </c>
      <c r="K13" s="4">
        <f t="shared" ca="1" si="7"/>
        <v>0</v>
      </c>
      <c r="L13" s="4">
        <f t="shared" ca="1" si="8"/>
        <v>0</v>
      </c>
    </row>
    <row r="14" spans="1:12" ht="15" customHeight="1" x14ac:dyDescent="0.25">
      <c r="A14" s="6" t="s">
        <v>13</v>
      </c>
      <c r="B14" s="7">
        <f t="shared" ref="B14:H14" ca="1" si="10">SUM(B4:B13)</f>
        <v>0</v>
      </c>
      <c r="C14" s="7">
        <f t="shared" ca="1" si="10"/>
        <v>0</v>
      </c>
      <c r="D14" s="7">
        <f t="shared" ca="1" si="10"/>
        <v>0</v>
      </c>
      <c r="E14" s="7">
        <f t="shared" ca="1" si="10"/>
        <v>0</v>
      </c>
      <c r="F14" s="7">
        <f t="shared" ca="1" si="10"/>
        <v>0</v>
      </c>
      <c r="G14" s="7">
        <f t="shared" ca="1" si="10"/>
        <v>0</v>
      </c>
      <c r="H14" s="7">
        <f t="shared" ca="1" si="10"/>
        <v>0</v>
      </c>
      <c r="I14" s="8">
        <f t="shared" ca="1" si="9"/>
        <v>0</v>
      </c>
      <c r="J14" s="7">
        <f ca="1">SUM(J4:J13)</f>
        <v>0</v>
      </c>
      <c r="K14" s="7">
        <f ca="1">SUM(K4:K13)</f>
        <v>0</v>
      </c>
      <c r="L14" s="7">
        <f ca="1">SUM(L4:L13)</f>
        <v>0</v>
      </c>
    </row>
    <row r="15" spans="1:12" ht="15" customHeight="1" x14ac:dyDescent="0.25">
      <c r="A15" s="9"/>
    </row>
    <row r="16" spans="1:12" ht="54.75" customHeight="1" x14ac:dyDescent="0.25">
      <c r="A16" s="10" t="s">
        <v>14</v>
      </c>
      <c r="B16" t="s">
        <v>18</v>
      </c>
    </row>
    <row r="17" spans="1:2" ht="54.75" customHeight="1" x14ac:dyDescent="0.25">
      <c r="A17" s="11" t="s">
        <v>15</v>
      </c>
      <c r="B17" s="12">
        <f ca="1">J14</f>
        <v>0</v>
      </c>
    </row>
    <row r="18" spans="1:2" ht="41.25" customHeight="1" x14ac:dyDescent="0.25">
      <c r="A18" s="11" t="s">
        <v>16</v>
      </c>
      <c r="B18" s="12">
        <f ca="1">K14</f>
        <v>0</v>
      </c>
    </row>
    <row r="19" spans="1:2" ht="54.75" customHeight="1" x14ac:dyDescent="0.25">
      <c r="A19" s="11" t="s">
        <v>17</v>
      </c>
      <c r="B19" s="12">
        <f ca="1">L14</f>
        <v>0</v>
      </c>
    </row>
    <row r="20" spans="1:2" ht="54.75" customHeight="1" x14ac:dyDescent="0.25">
      <c r="A20" s="11" t="s">
        <v>4</v>
      </c>
      <c r="B20" s="12">
        <f ca="1">D14</f>
        <v>0</v>
      </c>
    </row>
    <row r="21" spans="1:2" x14ac:dyDescent="0.25">
      <c r="A21" s="11" t="s">
        <v>5</v>
      </c>
      <c r="B21" s="12">
        <f ca="1">E14</f>
        <v>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85EA-2872-49A5-B6A2-B5606800DD27}">
  <dimension ref="A1"/>
  <sheetViews>
    <sheetView workbookViewId="0">
      <selection activeCell="N5" sqref="N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D60D-A755-4112-AAD8-DAE1C0E20E01}">
  <dimension ref="A1:J21"/>
  <sheetViews>
    <sheetView zoomScaleNormal="100" workbookViewId="0">
      <pane ySplit="2" topLeftCell="A3" activePane="bottomLeft" state="frozen"/>
      <selection activeCell="J23" sqref="J23"/>
      <selection pane="bottomLeft" activeCell="F35" sqref="F35"/>
    </sheetView>
  </sheetViews>
  <sheetFormatPr defaultColWidth="8.7109375" defaultRowHeight="15" x14ac:dyDescent="0.25"/>
  <cols>
    <col min="1" max="3" width="12" customWidth="1"/>
    <col min="4" max="4" width="10" customWidth="1"/>
    <col min="5" max="5" width="18" customWidth="1"/>
    <col min="6" max="6" width="15" customWidth="1"/>
    <col min="7" max="7" width="12" customWidth="1"/>
    <col min="8" max="8" width="15" customWidth="1"/>
    <col min="9" max="9" width="18" customWidth="1"/>
    <col min="10" max="10" width="15" customWidth="1"/>
  </cols>
  <sheetData>
    <row r="1" spans="1:10" ht="18" x14ac:dyDescent="0.25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8.5" x14ac:dyDescent="0.25">
      <c r="A2" s="13" t="s">
        <v>27</v>
      </c>
      <c r="B2" s="13" t="s">
        <v>28</v>
      </c>
      <c r="C2" s="13" t="s">
        <v>29</v>
      </c>
      <c r="D2" s="13" t="s">
        <v>30</v>
      </c>
      <c r="E2" s="13" t="s">
        <v>31</v>
      </c>
      <c r="F2" s="13" t="s">
        <v>32</v>
      </c>
      <c r="G2" s="13" t="s">
        <v>33</v>
      </c>
      <c r="H2" s="13" t="s">
        <v>34</v>
      </c>
      <c r="I2" s="13" t="s">
        <v>35</v>
      </c>
      <c r="J2" s="13" t="s">
        <v>36</v>
      </c>
    </row>
    <row r="3" spans="1:10" x14ac:dyDescent="0.25">
      <c r="A3" s="14" t="s">
        <v>19</v>
      </c>
      <c r="B3" s="14">
        <v>23</v>
      </c>
      <c r="C3" s="14">
        <v>89</v>
      </c>
      <c r="D3" s="14">
        <v>112</v>
      </c>
      <c r="E3" s="14">
        <v>50</v>
      </c>
      <c r="F3" s="14">
        <v>62</v>
      </c>
      <c r="G3" s="14">
        <f>SUM('CAT I Controls'!G3+'CAT II Controls'!G3+'CAT III Controls'!G3)</f>
        <v>2</v>
      </c>
      <c r="H3" s="14">
        <f>SUM('CAT I Controls'!H3+'CAT II Controls'!H3+'CAT III Controls'!H3)</f>
        <v>0</v>
      </c>
      <c r="I3" s="14">
        <f>SUM('CAT I Controls'!I3+'CAT II Controls'!I3+'CAT III Controls'!I3)</f>
        <v>0</v>
      </c>
      <c r="J3" s="28">
        <f>G3/F3</f>
        <v>3.2258064516129031E-2</v>
      </c>
    </row>
    <row r="4" spans="1:10" x14ac:dyDescent="0.25">
      <c r="A4" s="14" t="s">
        <v>37</v>
      </c>
      <c r="B4" s="14">
        <v>4</v>
      </c>
      <c r="C4" s="14">
        <v>6</v>
      </c>
      <c r="D4" s="14">
        <v>10</v>
      </c>
      <c r="E4" s="14">
        <v>3</v>
      </c>
      <c r="F4" s="14">
        <v>7</v>
      </c>
      <c r="G4" s="14">
        <f>SUM('CAT I Controls'!G4+'CAT II Controls'!G4+'CAT III Controls'!G4)</f>
        <v>0</v>
      </c>
      <c r="H4" s="14">
        <f>SUM('CAT I Controls'!H4+'CAT II Controls'!H4+'CAT III Controls'!H4)</f>
        <v>0</v>
      </c>
      <c r="I4" s="14">
        <f>SUM('CAT I Controls'!I4+'CAT II Controls'!I4+'CAT III Controls'!I4)</f>
        <v>0</v>
      </c>
      <c r="J4" s="28">
        <f t="shared" ref="J4:J20" si="0">G4/F4</f>
        <v>0</v>
      </c>
    </row>
    <row r="5" spans="1:10" x14ac:dyDescent="0.25">
      <c r="A5" s="14" t="s">
        <v>20</v>
      </c>
      <c r="B5" s="14">
        <v>16</v>
      </c>
      <c r="C5" s="14">
        <v>41</v>
      </c>
      <c r="D5" s="14">
        <v>57</v>
      </c>
      <c r="E5" s="14">
        <v>17</v>
      </c>
      <c r="F5" s="14">
        <v>40</v>
      </c>
      <c r="G5" s="14">
        <f>SUM('CAT I Controls'!G5+'CAT II Controls'!G5+'CAT III Controls'!G5)</f>
        <v>0</v>
      </c>
      <c r="H5" s="14">
        <f>SUM('CAT I Controls'!H5+'CAT II Controls'!H5+'CAT III Controls'!H5)</f>
        <v>0</v>
      </c>
      <c r="I5" s="14">
        <f>SUM('CAT I Controls'!I5+'CAT II Controls'!I5+'CAT III Controls'!I5)</f>
        <v>0</v>
      </c>
      <c r="J5" s="28">
        <f t="shared" si="0"/>
        <v>0</v>
      </c>
    </row>
    <row r="6" spans="1:10" x14ac:dyDescent="0.25">
      <c r="A6" s="14" t="s">
        <v>38</v>
      </c>
      <c r="B6" s="14">
        <v>8</v>
      </c>
      <c r="C6" s="14">
        <v>14</v>
      </c>
      <c r="D6" s="14">
        <v>22</v>
      </c>
      <c r="E6" s="14">
        <v>10</v>
      </c>
      <c r="F6" s="14">
        <v>12</v>
      </c>
      <c r="G6" s="14">
        <f>SUM('CAT I Controls'!G6+'CAT II Controls'!G6+'CAT III Controls'!G6)</f>
        <v>0</v>
      </c>
      <c r="H6" s="14">
        <f>SUM('CAT I Controls'!H6+'CAT II Controls'!H6+'CAT III Controls'!H6)</f>
        <v>0</v>
      </c>
      <c r="I6" s="14">
        <f>SUM('CAT I Controls'!I6+'CAT II Controls'!I6+'CAT III Controls'!I6)</f>
        <v>0</v>
      </c>
      <c r="J6" s="28">
        <f t="shared" si="0"/>
        <v>0</v>
      </c>
    </row>
    <row r="7" spans="1:10" x14ac:dyDescent="0.25">
      <c r="A7" s="14" t="s">
        <v>21</v>
      </c>
      <c r="B7" s="14">
        <v>11</v>
      </c>
      <c r="C7" s="14">
        <v>39</v>
      </c>
      <c r="D7" s="14">
        <v>50</v>
      </c>
      <c r="E7" s="14">
        <v>25</v>
      </c>
      <c r="F7" s="14">
        <v>25</v>
      </c>
      <c r="G7" s="14">
        <f>SUM('CAT I Controls'!G7+'CAT II Controls'!G7+'CAT III Controls'!G7)</f>
        <v>0</v>
      </c>
      <c r="H7" s="14">
        <f>SUM('CAT I Controls'!H7+'CAT II Controls'!H7+'CAT III Controls'!H7)</f>
        <v>0</v>
      </c>
      <c r="I7" s="14">
        <f>SUM('CAT I Controls'!I7+'CAT II Controls'!I7+'CAT III Controls'!I7)</f>
        <v>0</v>
      </c>
      <c r="J7" s="28">
        <f t="shared" si="0"/>
        <v>0</v>
      </c>
    </row>
    <row r="8" spans="1:10" x14ac:dyDescent="0.25">
      <c r="A8" s="14" t="s">
        <v>39</v>
      </c>
      <c r="B8" s="14">
        <v>12</v>
      </c>
      <c r="C8" s="14">
        <v>36</v>
      </c>
      <c r="D8" s="14">
        <v>48</v>
      </c>
      <c r="E8" s="14">
        <v>41</v>
      </c>
      <c r="F8" s="14">
        <v>7</v>
      </c>
      <c r="G8" s="14">
        <f>SUM('CAT I Controls'!G8+'CAT II Controls'!G8+'CAT III Controls'!G8)</f>
        <v>0</v>
      </c>
      <c r="H8" s="14">
        <f>SUM('CAT I Controls'!H8+'CAT II Controls'!H8+'CAT III Controls'!H8)</f>
        <v>0</v>
      </c>
      <c r="I8" s="14">
        <f>SUM('CAT I Controls'!I8+'CAT II Controls'!I8+'CAT III Controls'!I8)</f>
        <v>0</v>
      </c>
      <c r="J8" s="28">
        <f t="shared" si="0"/>
        <v>0</v>
      </c>
    </row>
    <row r="9" spans="1:10" x14ac:dyDescent="0.25">
      <c r="A9" s="14" t="s">
        <v>22</v>
      </c>
      <c r="B9" s="14">
        <v>11</v>
      </c>
      <c r="C9" s="14">
        <v>45</v>
      </c>
      <c r="D9" s="14">
        <v>56</v>
      </c>
      <c r="E9" s="14">
        <v>25</v>
      </c>
      <c r="F9" s="14">
        <v>31</v>
      </c>
      <c r="G9" s="14">
        <f>SUM('CAT I Controls'!G9+'CAT II Controls'!G9+'CAT III Controls'!G9)</f>
        <v>0</v>
      </c>
      <c r="H9" s="14">
        <f>SUM('CAT I Controls'!H9+'CAT II Controls'!H9+'CAT III Controls'!H9)</f>
        <v>0</v>
      </c>
      <c r="I9" s="14">
        <f>SUM('CAT I Controls'!I9+'CAT II Controls'!I9+'CAT III Controls'!I9)</f>
        <v>0</v>
      </c>
      <c r="J9" s="28">
        <f t="shared" si="0"/>
        <v>0</v>
      </c>
    </row>
    <row r="10" spans="1:10" x14ac:dyDescent="0.25">
      <c r="A10" s="14" t="s">
        <v>40</v>
      </c>
      <c r="B10" s="14">
        <v>10</v>
      </c>
      <c r="C10" s="14">
        <v>24</v>
      </c>
      <c r="D10" s="14">
        <v>34</v>
      </c>
      <c r="E10" s="14">
        <v>8</v>
      </c>
      <c r="F10" s="14">
        <v>26</v>
      </c>
      <c r="G10" s="14">
        <f>SUM('CAT I Controls'!G10+'CAT II Controls'!G10+'CAT III Controls'!G10)</f>
        <v>1</v>
      </c>
      <c r="H10" s="14">
        <f>SUM('CAT I Controls'!H10+'CAT II Controls'!H10+'CAT III Controls'!H10)</f>
        <v>0</v>
      </c>
      <c r="I10" s="14">
        <f>SUM('CAT I Controls'!I10+'CAT II Controls'!I10+'CAT III Controls'!I10)</f>
        <v>0</v>
      </c>
      <c r="J10" s="28">
        <f t="shared" si="0"/>
        <v>3.8461538461538464E-2</v>
      </c>
    </row>
    <row r="11" spans="1:10" x14ac:dyDescent="0.25">
      <c r="A11" s="14" t="s">
        <v>23</v>
      </c>
      <c r="B11" s="14">
        <v>6</v>
      </c>
      <c r="C11" s="14">
        <v>20</v>
      </c>
      <c r="D11" s="14">
        <v>26</v>
      </c>
      <c r="E11" s="14">
        <v>7</v>
      </c>
      <c r="F11" s="14">
        <v>19</v>
      </c>
      <c r="G11" s="14">
        <f>SUM('CAT I Controls'!G11+'CAT II Controls'!G11+'CAT III Controls'!G11)</f>
        <v>0</v>
      </c>
      <c r="H11" s="14">
        <f>SUM('CAT I Controls'!H11+'CAT II Controls'!H11+'CAT III Controls'!H11)</f>
        <v>0</v>
      </c>
      <c r="I11" s="14">
        <f>SUM('CAT I Controls'!I11+'CAT II Controls'!I11+'CAT III Controls'!I11)</f>
        <v>0</v>
      </c>
      <c r="J11" s="28">
        <f t="shared" si="0"/>
        <v>0</v>
      </c>
    </row>
    <row r="12" spans="1:10" x14ac:dyDescent="0.25">
      <c r="A12" s="14" t="s">
        <v>41</v>
      </c>
      <c r="B12" s="14">
        <v>8</v>
      </c>
      <c r="C12" s="14">
        <v>14</v>
      </c>
      <c r="D12" s="14">
        <v>22</v>
      </c>
      <c r="E12" s="14">
        <v>4</v>
      </c>
      <c r="F12" s="14">
        <v>18</v>
      </c>
      <c r="G12" s="14">
        <f>SUM('CAT I Controls'!G12+'CAT II Controls'!G12+'CAT III Controls'!G12)</f>
        <v>0</v>
      </c>
      <c r="H12" s="14">
        <f>SUM('CAT I Controls'!H12+'CAT II Controls'!H12+'CAT III Controls'!H12)</f>
        <v>0</v>
      </c>
      <c r="I12" s="14">
        <f>SUM('CAT I Controls'!I12+'CAT II Controls'!I12+'CAT III Controls'!I12)</f>
        <v>0</v>
      </c>
      <c r="J12" s="28">
        <f t="shared" si="0"/>
        <v>0</v>
      </c>
    </row>
    <row r="13" spans="1:10" x14ac:dyDescent="0.25">
      <c r="A13" s="14" t="s">
        <v>42</v>
      </c>
      <c r="B13" s="14">
        <v>19</v>
      </c>
      <c r="C13" s="14">
        <v>31</v>
      </c>
      <c r="D13" s="14">
        <v>50</v>
      </c>
      <c r="E13" s="14">
        <v>25</v>
      </c>
      <c r="F13" s="14">
        <v>25</v>
      </c>
      <c r="G13" s="14">
        <f>SUM('CAT I Controls'!G13+'CAT II Controls'!G13+'CAT III Controls'!G13)</f>
        <v>0</v>
      </c>
      <c r="H13" s="14">
        <f>SUM('CAT I Controls'!H13+'CAT II Controls'!H13+'CAT III Controls'!H13)</f>
        <v>0</v>
      </c>
      <c r="I13" s="14">
        <f>SUM('CAT I Controls'!I13+'CAT II Controls'!I13+'CAT III Controls'!I13)</f>
        <v>0</v>
      </c>
      <c r="J13" s="28">
        <f t="shared" si="0"/>
        <v>0</v>
      </c>
    </row>
    <row r="14" spans="1:10" x14ac:dyDescent="0.25">
      <c r="A14" s="14" t="s">
        <v>43</v>
      </c>
      <c r="B14" s="14">
        <v>6</v>
      </c>
      <c r="C14" s="14">
        <v>4</v>
      </c>
      <c r="D14" s="14">
        <v>10</v>
      </c>
      <c r="E14" s="14">
        <v>2</v>
      </c>
      <c r="F14" s="14">
        <v>8</v>
      </c>
      <c r="G14" s="14">
        <f>SUM('CAT I Controls'!G14+'CAT II Controls'!G14+'CAT III Controls'!G14)</f>
        <v>0</v>
      </c>
      <c r="H14" s="14">
        <f>SUM('CAT I Controls'!H14+'CAT II Controls'!H14+'CAT III Controls'!H14)</f>
        <v>0</v>
      </c>
      <c r="I14" s="14">
        <f>SUM('CAT I Controls'!I14+'CAT II Controls'!I14+'CAT III Controls'!I14)</f>
        <v>0</v>
      </c>
      <c r="J14" s="28">
        <f t="shared" si="0"/>
        <v>0</v>
      </c>
    </row>
    <row r="15" spans="1:10" x14ac:dyDescent="0.25">
      <c r="A15" s="14" t="s">
        <v>44</v>
      </c>
      <c r="B15" s="14">
        <v>8</v>
      </c>
      <c r="C15" s="14">
        <v>7</v>
      </c>
      <c r="D15" s="14">
        <v>15</v>
      </c>
      <c r="E15" s="14">
        <v>2</v>
      </c>
      <c r="F15" s="14">
        <v>13</v>
      </c>
      <c r="G15" s="14">
        <f>SUM('CAT I Controls'!G15+'CAT II Controls'!G15+'CAT III Controls'!G15)</f>
        <v>0</v>
      </c>
      <c r="H15" s="14">
        <f>SUM('CAT I Controls'!H15+'CAT II Controls'!H15+'CAT III Controls'!H15)</f>
        <v>0</v>
      </c>
      <c r="I15" s="14">
        <f>SUM('CAT I Controls'!I15+'CAT II Controls'!I15+'CAT III Controls'!I15)</f>
        <v>0</v>
      </c>
      <c r="J15" s="28">
        <f t="shared" si="0"/>
        <v>0</v>
      </c>
    </row>
    <row r="16" spans="1:10" x14ac:dyDescent="0.25">
      <c r="A16" s="14" t="s">
        <v>45</v>
      </c>
      <c r="B16" s="14">
        <v>5</v>
      </c>
      <c r="C16" s="14">
        <v>8</v>
      </c>
      <c r="D16" s="14">
        <v>13</v>
      </c>
      <c r="E16" s="14">
        <v>3</v>
      </c>
      <c r="F16" s="14">
        <v>10</v>
      </c>
      <c r="G16" s="14">
        <f>SUM('CAT I Controls'!G16+'CAT II Controls'!G16+'CAT III Controls'!G16)</f>
        <v>0</v>
      </c>
      <c r="H16" s="14">
        <f>SUM('CAT I Controls'!H16+'CAT II Controls'!H16+'CAT III Controls'!H16)</f>
        <v>0</v>
      </c>
      <c r="I16" s="14">
        <f>SUM('CAT I Controls'!I16+'CAT II Controls'!I16+'CAT III Controls'!I16)</f>
        <v>0</v>
      </c>
      <c r="J16" s="28">
        <f t="shared" si="0"/>
        <v>0</v>
      </c>
    </row>
    <row r="17" spans="1:10" x14ac:dyDescent="0.25">
      <c r="A17" s="14" t="s">
        <v>46</v>
      </c>
      <c r="B17" s="14">
        <v>19</v>
      </c>
      <c r="C17" s="14">
        <v>66</v>
      </c>
      <c r="D17" s="14">
        <v>85</v>
      </c>
      <c r="E17" s="14">
        <v>61</v>
      </c>
      <c r="F17" s="14">
        <v>24</v>
      </c>
      <c r="G17" s="14">
        <f>SUM('CAT I Controls'!G17+'CAT II Controls'!G17+'CAT III Controls'!G17)</f>
        <v>0</v>
      </c>
      <c r="H17" s="14">
        <f>SUM('CAT I Controls'!H17+'CAT II Controls'!H17+'CAT III Controls'!H17)</f>
        <v>0</v>
      </c>
      <c r="I17" s="14">
        <f>SUM('CAT I Controls'!I17+'CAT II Controls'!I17+'CAT III Controls'!I17)</f>
        <v>0</v>
      </c>
      <c r="J17" s="28">
        <f t="shared" si="0"/>
        <v>0</v>
      </c>
    </row>
    <row r="18" spans="1:10" x14ac:dyDescent="0.25">
      <c r="A18" s="14" t="s">
        <v>24</v>
      </c>
      <c r="B18" s="14">
        <v>40</v>
      </c>
      <c r="C18" s="14">
        <v>75</v>
      </c>
      <c r="D18" s="14">
        <v>115</v>
      </c>
      <c r="E18" s="14">
        <v>62</v>
      </c>
      <c r="F18" s="14">
        <v>53</v>
      </c>
      <c r="G18" s="14">
        <f>SUM('CAT I Controls'!G18+'CAT II Controls'!G18+'CAT III Controls'!G18)</f>
        <v>1</v>
      </c>
      <c r="H18" s="14">
        <f>SUM('CAT I Controls'!H18+'CAT II Controls'!H18+'CAT III Controls'!H18)</f>
        <v>0</v>
      </c>
      <c r="I18" s="14">
        <f>SUM('CAT I Controls'!I18+'CAT II Controls'!I18+'CAT III Controls'!I18)</f>
        <v>0</v>
      </c>
      <c r="J18" s="28">
        <f t="shared" si="0"/>
        <v>1.8867924528301886E-2</v>
      </c>
    </row>
    <row r="19" spans="1:10" x14ac:dyDescent="0.25">
      <c r="A19" s="14" t="s">
        <v>25</v>
      </c>
      <c r="B19" s="14">
        <v>16</v>
      </c>
      <c r="C19" s="14">
        <v>66</v>
      </c>
      <c r="D19" s="14">
        <v>82</v>
      </c>
      <c r="E19" s="14">
        <v>44</v>
      </c>
      <c r="F19" s="14">
        <v>38</v>
      </c>
      <c r="G19" s="14">
        <f>SUM('CAT I Controls'!G19+'CAT II Controls'!G19+'CAT III Controls'!G19)</f>
        <v>1</v>
      </c>
      <c r="H19" s="14">
        <f>SUM('CAT I Controls'!H19+'CAT II Controls'!H19+'CAT III Controls'!H19)</f>
        <v>0</v>
      </c>
      <c r="I19" s="14">
        <f>SUM('CAT I Controls'!I19+'CAT II Controls'!I19+'CAT III Controls'!I19)</f>
        <v>0</v>
      </c>
      <c r="J19" s="28">
        <f t="shared" si="0"/>
        <v>2.6315789473684209E-2</v>
      </c>
    </row>
    <row r="20" spans="1:10" x14ac:dyDescent="0.25">
      <c r="A20" s="14" t="s">
        <v>47</v>
      </c>
      <c r="B20" s="14">
        <v>16</v>
      </c>
      <c r="C20" s="14">
        <v>0</v>
      </c>
      <c r="D20" s="14">
        <v>16</v>
      </c>
      <c r="E20" s="14">
        <v>0</v>
      </c>
      <c r="F20" s="14">
        <v>16</v>
      </c>
      <c r="G20" s="14">
        <f>SUM('CAT I Controls'!G20+'CAT II Controls'!G20+'CAT III Controls'!G20)</f>
        <v>0</v>
      </c>
      <c r="H20" s="14">
        <f>SUM('CAT I Controls'!H20+'CAT II Controls'!H20+'CAT III Controls'!H20)</f>
        <v>0</v>
      </c>
      <c r="I20" s="14">
        <f>SUM('CAT I Controls'!I20+'CAT II Controls'!I20+'CAT III Controls'!I20)</f>
        <v>0</v>
      </c>
      <c r="J20" s="28">
        <f t="shared" si="0"/>
        <v>0</v>
      </c>
    </row>
    <row r="21" spans="1:10" x14ac:dyDescent="0.25">
      <c r="A21" s="26" t="s">
        <v>48</v>
      </c>
      <c r="B21" s="26">
        <f t="shared" ref="B21:I21" si="1">SUM(B3:B20)</f>
        <v>238</v>
      </c>
      <c r="C21" s="26">
        <f t="shared" si="1"/>
        <v>585</v>
      </c>
      <c r="D21" s="26">
        <f t="shared" si="1"/>
        <v>823</v>
      </c>
      <c r="E21" s="26">
        <f t="shared" si="1"/>
        <v>389</v>
      </c>
      <c r="F21" s="26">
        <f t="shared" si="1"/>
        <v>434</v>
      </c>
      <c r="G21" s="26">
        <f t="shared" si="1"/>
        <v>5</v>
      </c>
      <c r="H21" s="26">
        <f t="shared" si="1"/>
        <v>0</v>
      </c>
      <c r="I21" s="26">
        <f t="shared" si="1"/>
        <v>0</v>
      </c>
      <c r="J21" s="27">
        <f>AVERAGE(J3:J20)</f>
        <v>6.4390731655363104E-3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1EA7-B443-4E0F-A41B-C54BE578C0D0}">
  <dimension ref="A1:J21"/>
  <sheetViews>
    <sheetView zoomScaleNormal="100" workbookViewId="0">
      <pane ySplit="2" topLeftCell="A3" activePane="bottomLeft" state="frozen"/>
      <selection activeCell="J23" sqref="J23"/>
      <selection pane="bottomLeft" activeCell="G10" sqref="G10"/>
    </sheetView>
  </sheetViews>
  <sheetFormatPr defaultColWidth="8.7109375" defaultRowHeight="15" x14ac:dyDescent="0.25"/>
  <cols>
    <col min="1" max="3" width="12" customWidth="1"/>
    <col min="4" max="4" width="10" customWidth="1"/>
    <col min="5" max="5" width="18" customWidth="1"/>
    <col min="6" max="6" width="15" customWidth="1"/>
    <col min="7" max="7" width="12" customWidth="1"/>
    <col min="8" max="8" width="15" customWidth="1"/>
    <col min="9" max="9" width="18" customWidth="1"/>
    <col min="10" max="10" width="15" customWidth="1"/>
  </cols>
  <sheetData>
    <row r="1" spans="1:10" ht="18" x14ac:dyDescent="0.25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8.5" x14ac:dyDescent="0.25">
      <c r="A2" s="15" t="s">
        <v>27</v>
      </c>
      <c r="B2" s="15" t="s">
        <v>28</v>
      </c>
      <c r="C2" s="15" t="s">
        <v>29</v>
      </c>
      <c r="D2" s="15" t="s">
        <v>30</v>
      </c>
      <c r="E2" s="15" t="s">
        <v>31</v>
      </c>
      <c r="F2" s="15" t="s">
        <v>32</v>
      </c>
      <c r="G2" s="15" t="s">
        <v>33</v>
      </c>
      <c r="H2" s="15" t="s">
        <v>34</v>
      </c>
      <c r="I2" s="15" t="s">
        <v>35</v>
      </c>
      <c r="J2" s="15" t="s">
        <v>36</v>
      </c>
    </row>
    <row r="3" spans="1:10" x14ac:dyDescent="0.25">
      <c r="A3" s="16" t="s">
        <v>19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28"/>
    </row>
    <row r="4" spans="1:10" x14ac:dyDescent="0.25">
      <c r="A4" s="16" t="s">
        <v>37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28"/>
    </row>
    <row r="5" spans="1:10" x14ac:dyDescent="0.25">
      <c r="A5" s="16" t="s">
        <v>20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28"/>
    </row>
    <row r="6" spans="1:10" x14ac:dyDescent="0.25">
      <c r="A6" s="16" t="s">
        <v>38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28"/>
    </row>
    <row r="7" spans="1:10" x14ac:dyDescent="0.25">
      <c r="A7" s="16" t="s">
        <v>21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28"/>
    </row>
    <row r="8" spans="1:10" x14ac:dyDescent="0.25">
      <c r="A8" s="16" t="s">
        <v>39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28"/>
    </row>
    <row r="9" spans="1:10" x14ac:dyDescent="0.25">
      <c r="A9" s="16" t="s">
        <v>22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28"/>
    </row>
    <row r="10" spans="1:10" x14ac:dyDescent="0.25">
      <c r="A10" s="16" t="s">
        <v>40</v>
      </c>
      <c r="B10" s="14">
        <v>1</v>
      </c>
      <c r="C10" s="14">
        <v>0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0</v>
      </c>
      <c r="J10" s="28">
        <f>IF(F10&gt;0,G10/F10,0)</f>
        <v>1</v>
      </c>
    </row>
    <row r="11" spans="1:10" x14ac:dyDescent="0.25">
      <c r="A11" s="16" t="s">
        <v>23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28"/>
    </row>
    <row r="12" spans="1:10" x14ac:dyDescent="0.25">
      <c r="A12" s="16" t="s">
        <v>41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28"/>
    </row>
    <row r="13" spans="1:10" x14ac:dyDescent="0.25">
      <c r="A13" s="16" t="s">
        <v>42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28"/>
    </row>
    <row r="14" spans="1:10" x14ac:dyDescent="0.25">
      <c r="A14" s="16" t="s">
        <v>43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28"/>
    </row>
    <row r="15" spans="1:10" x14ac:dyDescent="0.25">
      <c r="A15" s="16" t="s">
        <v>44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28"/>
    </row>
    <row r="16" spans="1:10" x14ac:dyDescent="0.25">
      <c r="A16" s="16" t="s">
        <v>45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28"/>
    </row>
    <row r="17" spans="1:10" x14ac:dyDescent="0.25">
      <c r="A17" s="16" t="s">
        <v>46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28"/>
    </row>
    <row r="18" spans="1:10" x14ac:dyDescent="0.25">
      <c r="A18" s="16" t="s">
        <v>24</v>
      </c>
      <c r="B18" s="14">
        <v>1</v>
      </c>
      <c r="C18" s="14">
        <v>2</v>
      </c>
      <c r="D18" s="14">
        <v>3</v>
      </c>
      <c r="E18" s="14">
        <v>1</v>
      </c>
      <c r="F18" s="14">
        <v>2</v>
      </c>
      <c r="G18" s="14">
        <v>1</v>
      </c>
      <c r="H18" s="14">
        <v>0</v>
      </c>
      <c r="I18" s="14">
        <v>0</v>
      </c>
      <c r="J18" s="28">
        <f>IF(F18&gt;0,G18/F18,0)</f>
        <v>0.5</v>
      </c>
    </row>
    <row r="19" spans="1:10" x14ac:dyDescent="0.25">
      <c r="A19" s="16" t="s">
        <v>25</v>
      </c>
      <c r="B19" s="14">
        <v>2</v>
      </c>
      <c r="C19" s="14">
        <v>2</v>
      </c>
      <c r="D19" s="14">
        <v>4</v>
      </c>
      <c r="E19" s="14">
        <v>0</v>
      </c>
      <c r="F19" s="14">
        <v>4</v>
      </c>
      <c r="G19" s="14">
        <v>1</v>
      </c>
      <c r="H19" s="14">
        <v>0</v>
      </c>
      <c r="I19" s="14">
        <v>0</v>
      </c>
      <c r="J19" s="28">
        <f>IF(F19&gt;0,G19/F19,0)</f>
        <v>0.25</v>
      </c>
    </row>
    <row r="20" spans="1:10" x14ac:dyDescent="0.25">
      <c r="A20" s="17" t="s">
        <v>47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9"/>
    </row>
    <row r="21" spans="1:10" x14ac:dyDescent="0.25">
      <c r="A21" s="19" t="s">
        <v>48</v>
      </c>
      <c r="B21" s="19">
        <f t="shared" ref="B21:I21" si="0">SUM(B3:B20)</f>
        <v>4</v>
      </c>
      <c r="C21" s="19">
        <f t="shared" si="0"/>
        <v>4</v>
      </c>
      <c r="D21" s="19">
        <f t="shared" si="0"/>
        <v>8</v>
      </c>
      <c r="E21" s="19">
        <f t="shared" si="0"/>
        <v>1</v>
      </c>
      <c r="F21" s="19">
        <f t="shared" si="0"/>
        <v>7</v>
      </c>
      <c r="G21" s="19">
        <f t="shared" si="0"/>
        <v>3</v>
      </c>
      <c r="H21" s="19">
        <f t="shared" si="0"/>
        <v>0</v>
      </c>
      <c r="I21" s="19">
        <f t="shared" si="0"/>
        <v>0</v>
      </c>
      <c r="J21" s="25">
        <f>AVERAGE(J3:J20)</f>
        <v>0.58333333333333337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B0D6-5CBD-49C7-9C88-E88C5A3815E7}">
  <dimension ref="A1:J21"/>
  <sheetViews>
    <sheetView zoomScaleNormal="100" workbookViewId="0">
      <pane ySplit="2" topLeftCell="A3" activePane="bottomLeft" state="frozen"/>
      <selection activeCell="J23" sqref="J23"/>
      <selection pane="bottomLeft" activeCell="G20" sqref="G20"/>
    </sheetView>
  </sheetViews>
  <sheetFormatPr defaultColWidth="8.7109375" defaultRowHeight="15" x14ac:dyDescent="0.25"/>
  <cols>
    <col min="1" max="3" width="12" customWidth="1"/>
    <col min="4" max="4" width="10" customWidth="1"/>
    <col min="5" max="5" width="18" customWidth="1"/>
    <col min="6" max="6" width="15" customWidth="1"/>
    <col min="7" max="7" width="12" customWidth="1"/>
    <col min="8" max="8" width="15" customWidth="1"/>
    <col min="9" max="9" width="18" customWidth="1"/>
    <col min="10" max="10" width="15" customWidth="1"/>
  </cols>
  <sheetData>
    <row r="1" spans="1:10" ht="18" x14ac:dyDescent="0.25">
      <c r="A1" s="34" t="s">
        <v>50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8.5" x14ac:dyDescent="0.25">
      <c r="A2" s="20" t="s">
        <v>27</v>
      </c>
      <c r="B2" s="20" t="s">
        <v>28</v>
      </c>
      <c r="C2" s="20" t="s">
        <v>29</v>
      </c>
      <c r="D2" s="20" t="s">
        <v>30</v>
      </c>
      <c r="E2" s="20" t="s">
        <v>31</v>
      </c>
      <c r="F2" s="20" t="s">
        <v>32</v>
      </c>
      <c r="G2" s="20" t="s">
        <v>33</v>
      </c>
      <c r="H2" s="20" t="s">
        <v>34</v>
      </c>
      <c r="I2" s="20" t="s">
        <v>35</v>
      </c>
      <c r="J2" s="20" t="s">
        <v>36</v>
      </c>
    </row>
    <row r="3" spans="1:10" x14ac:dyDescent="0.25">
      <c r="A3" s="14" t="s">
        <v>19</v>
      </c>
      <c r="B3" s="14">
        <v>6</v>
      </c>
      <c r="C3" s="14">
        <v>22</v>
      </c>
      <c r="D3" s="14">
        <v>28</v>
      </c>
      <c r="E3" s="14">
        <v>3</v>
      </c>
      <c r="F3" s="14">
        <v>25</v>
      </c>
      <c r="G3" s="14">
        <v>0</v>
      </c>
      <c r="H3" s="14">
        <v>0</v>
      </c>
      <c r="I3" s="14">
        <v>0</v>
      </c>
      <c r="J3" s="28">
        <f>IF(F3&gt;0,G3/F3,0)</f>
        <v>0</v>
      </c>
    </row>
    <row r="4" spans="1:10" x14ac:dyDescent="0.25">
      <c r="A4" s="14" t="s">
        <v>37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28"/>
    </row>
    <row r="5" spans="1:10" x14ac:dyDescent="0.25">
      <c r="A5" s="14" t="s">
        <v>20</v>
      </c>
      <c r="B5" s="14">
        <v>4</v>
      </c>
      <c r="C5" s="14">
        <v>6</v>
      </c>
      <c r="D5" s="14">
        <v>10</v>
      </c>
      <c r="E5" s="14">
        <v>0</v>
      </c>
      <c r="F5" s="14">
        <v>10</v>
      </c>
      <c r="G5" s="14">
        <v>0</v>
      </c>
      <c r="H5" s="14">
        <v>0</v>
      </c>
      <c r="I5" s="14">
        <v>0</v>
      </c>
      <c r="J5" s="28">
        <f t="shared" ref="J5:J13" si="0">IF(F5&gt;0,G5/F5,0)</f>
        <v>0</v>
      </c>
    </row>
    <row r="6" spans="1:10" x14ac:dyDescent="0.25">
      <c r="A6" s="14" t="s">
        <v>38</v>
      </c>
      <c r="B6" s="14">
        <v>3</v>
      </c>
      <c r="C6" s="14">
        <v>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28">
        <f t="shared" si="0"/>
        <v>0</v>
      </c>
    </row>
    <row r="7" spans="1:10" x14ac:dyDescent="0.25">
      <c r="A7" s="14" t="s">
        <v>21</v>
      </c>
      <c r="B7" s="14">
        <v>9</v>
      </c>
      <c r="C7" s="14">
        <v>24</v>
      </c>
      <c r="D7" s="14">
        <v>33</v>
      </c>
      <c r="E7" s="14">
        <v>13</v>
      </c>
      <c r="F7" s="14">
        <v>20</v>
      </c>
      <c r="G7" s="14">
        <v>0</v>
      </c>
      <c r="H7" s="14">
        <v>0</v>
      </c>
      <c r="I7" s="14">
        <v>0</v>
      </c>
      <c r="J7" s="28">
        <f t="shared" si="0"/>
        <v>0</v>
      </c>
    </row>
    <row r="8" spans="1:10" x14ac:dyDescent="0.25">
      <c r="A8" s="14" t="s">
        <v>39</v>
      </c>
      <c r="B8" s="14">
        <v>4</v>
      </c>
      <c r="C8" s="14">
        <v>6</v>
      </c>
      <c r="D8" s="14">
        <v>10</v>
      </c>
      <c r="E8" s="14">
        <v>7</v>
      </c>
      <c r="F8" s="14">
        <v>3</v>
      </c>
      <c r="G8" s="14">
        <v>0</v>
      </c>
      <c r="H8" s="14">
        <v>0</v>
      </c>
      <c r="I8" s="14">
        <v>0</v>
      </c>
      <c r="J8" s="28">
        <f t="shared" si="0"/>
        <v>0</v>
      </c>
    </row>
    <row r="9" spans="1:10" x14ac:dyDescent="0.25">
      <c r="A9" s="14" t="s">
        <v>22</v>
      </c>
      <c r="B9" s="14">
        <v>4</v>
      </c>
      <c r="C9" s="14">
        <v>1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28">
        <f t="shared" si="0"/>
        <v>0</v>
      </c>
    </row>
    <row r="10" spans="1:10" x14ac:dyDescent="0.25">
      <c r="A10" s="14" t="s">
        <v>40</v>
      </c>
      <c r="B10" s="14">
        <v>3</v>
      </c>
      <c r="C10" s="14">
        <v>2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28">
        <f t="shared" si="0"/>
        <v>0</v>
      </c>
    </row>
    <row r="11" spans="1:10" x14ac:dyDescent="0.25">
      <c r="A11" s="14" t="s">
        <v>23</v>
      </c>
      <c r="B11" s="14">
        <v>1</v>
      </c>
      <c r="C11" s="14">
        <v>2</v>
      </c>
      <c r="D11" s="14">
        <v>3</v>
      </c>
      <c r="E11" s="14">
        <v>0</v>
      </c>
      <c r="F11" s="14">
        <v>3</v>
      </c>
      <c r="G11" s="14">
        <v>0</v>
      </c>
      <c r="H11" s="14">
        <v>0</v>
      </c>
      <c r="I11" s="14">
        <v>0</v>
      </c>
      <c r="J11" s="28">
        <f t="shared" si="0"/>
        <v>0</v>
      </c>
    </row>
    <row r="12" spans="1:10" x14ac:dyDescent="0.25">
      <c r="A12" s="14" t="s">
        <v>41</v>
      </c>
      <c r="B12" s="14">
        <v>3</v>
      </c>
      <c r="C12" s="14">
        <v>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28">
        <f t="shared" si="0"/>
        <v>0</v>
      </c>
    </row>
    <row r="13" spans="1:10" x14ac:dyDescent="0.25">
      <c r="A13" s="14" t="s">
        <v>42</v>
      </c>
      <c r="B13" s="14">
        <v>3</v>
      </c>
      <c r="C13" s="14">
        <v>0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28">
        <f t="shared" si="0"/>
        <v>0</v>
      </c>
    </row>
    <row r="14" spans="1:10" x14ac:dyDescent="0.25">
      <c r="A14" s="14" t="s">
        <v>43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28"/>
    </row>
    <row r="15" spans="1:10" x14ac:dyDescent="0.25">
      <c r="A15" s="14" t="s">
        <v>44</v>
      </c>
      <c r="B15" s="14">
        <v>2</v>
      </c>
      <c r="C15" s="14">
        <v>0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28">
        <f>IF(F15&gt;0,G15/F15,0)</f>
        <v>0</v>
      </c>
    </row>
    <row r="16" spans="1:10" x14ac:dyDescent="0.25">
      <c r="A16" s="14" t="s">
        <v>45</v>
      </c>
      <c r="B16" s="14">
        <v>1</v>
      </c>
      <c r="C16" s="14">
        <v>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28">
        <f>IF(F16&gt;0,G16/F16,0)</f>
        <v>0</v>
      </c>
    </row>
    <row r="17" spans="1:10" x14ac:dyDescent="0.25">
      <c r="A17" s="14" t="s">
        <v>46</v>
      </c>
      <c r="B17" s="14">
        <v>4</v>
      </c>
      <c r="C17" s="14">
        <v>5</v>
      </c>
      <c r="D17" s="14">
        <v>9</v>
      </c>
      <c r="E17" s="14">
        <v>3</v>
      </c>
      <c r="F17" s="14">
        <v>6</v>
      </c>
      <c r="G17" s="14">
        <v>0</v>
      </c>
      <c r="H17" s="14">
        <v>0</v>
      </c>
      <c r="I17" s="14">
        <v>0</v>
      </c>
      <c r="J17" s="28">
        <f>IF(F17&gt;0,G17/F17,0)</f>
        <v>0</v>
      </c>
    </row>
    <row r="18" spans="1:10" x14ac:dyDescent="0.25">
      <c r="A18" s="14" t="s">
        <v>24</v>
      </c>
      <c r="B18" s="14">
        <v>12</v>
      </c>
      <c r="C18" s="14">
        <v>17</v>
      </c>
      <c r="D18" s="14">
        <v>29</v>
      </c>
      <c r="E18" s="14">
        <v>4</v>
      </c>
      <c r="F18" s="14">
        <v>25</v>
      </c>
      <c r="G18" s="14">
        <v>0</v>
      </c>
      <c r="H18" s="14">
        <v>0</v>
      </c>
      <c r="I18" s="14">
        <v>0</v>
      </c>
      <c r="J18" s="28">
        <f>IF(F18&gt;0,G18/F18,0)</f>
        <v>0</v>
      </c>
    </row>
    <row r="19" spans="1:10" x14ac:dyDescent="0.25">
      <c r="A19" s="14" t="s">
        <v>25</v>
      </c>
      <c r="B19" s="14">
        <v>8</v>
      </c>
      <c r="C19" s="14">
        <v>21</v>
      </c>
      <c r="D19" s="14">
        <v>29</v>
      </c>
      <c r="E19" s="14">
        <v>5</v>
      </c>
      <c r="F19" s="14">
        <v>24</v>
      </c>
      <c r="G19" s="14">
        <v>0</v>
      </c>
      <c r="H19" s="14">
        <v>0</v>
      </c>
      <c r="I19" s="14">
        <v>0</v>
      </c>
      <c r="J19" s="28">
        <f>IF(F19&gt;0,G19/F19,0)</f>
        <v>0</v>
      </c>
    </row>
    <row r="20" spans="1:10" x14ac:dyDescent="0.25">
      <c r="A20" s="18" t="s">
        <v>47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9"/>
    </row>
    <row r="21" spans="1:10" x14ac:dyDescent="0.25">
      <c r="A21" s="21" t="s">
        <v>48</v>
      </c>
      <c r="B21" s="21">
        <f t="shared" ref="B21:I21" si="1">SUM(B3:B20)</f>
        <v>67</v>
      </c>
      <c r="C21" s="21">
        <f t="shared" si="1"/>
        <v>109</v>
      </c>
      <c r="D21" s="21">
        <f t="shared" si="1"/>
        <v>176</v>
      </c>
      <c r="E21" s="21">
        <f t="shared" si="1"/>
        <v>35</v>
      </c>
      <c r="F21" s="21">
        <f t="shared" si="1"/>
        <v>141</v>
      </c>
      <c r="G21" s="21">
        <f t="shared" si="1"/>
        <v>0</v>
      </c>
      <c r="H21" s="21">
        <f t="shared" si="1"/>
        <v>0</v>
      </c>
      <c r="I21" s="21">
        <f t="shared" si="1"/>
        <v>0</v>
      </c>
      <c r="J21" s="30">
        <f>AVERAGE(J3:J20)</f>
        <v>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A83F-5F24-4213-96AA-7A662388576C}">
  <dimension ref="A1:J21"/>
  <sheetViews>
    <sheetView zoomScaleNormal="100" workbookViewId="0">
      <pane ySplit="2" topLeftCell="A3" activePane="bottomLeft" state="frozen"/>
      <selection activeCell="J23" sqref="J23"/>
      <selection pane="bottomLeft" activeCell="H41" sqref="H41"/>
    </sheetView>
  </sheetViews>
  <sheetFormatPr defaultColWidth="8.7109375" defaultRowHeight="15" x14ac:dyDescent="0.25"/>
  <cols>
    <col min="1" max="3" width="12" customWidth="1"/>
    <col min="4" max="4" width="10" customWidth="1"/>
    <col min="5" max="5" width="18" customWidth="1"/>
    <col min="6" max="6" width="15" customWidth="1"/>
    <col min="7" max="7" width="12" customWidth="1"/>
    <col min="8" max="8" width="15" customWidth="1"/>
    <col min="9" max="9" width="18" customWidth="1"/>
    <col min="10" max="10" width="15" customWidth="1"/>
  </cols>
  <sheetData>
    <row r="1" spans="1:10" ht="18" x14ac:dyDescent="0.25">
      <c r="A1" s="35" t="s">
        <v>51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28.5" x14ac:dyDescent="0.25">
      <c r="A2" s="22" t="s">
        <v>27</v>
      </c>
      <c r="B2" s="22" t="s">
        <v>28</v>
      </c>
      <c r="C2" s="22" t="s">
        <v>29</v>
      </c>
      <c r="D2" s="22" t="s">
        <v>30</v>
      </c>
      <c r="E2" s="22" t="s">
        <v>31</v>
      </c>
      <c r="F2" s="22" t="s">
        <v>32</v>
      </c>
      <c r="G2" s="22" t="s">
        <v>33</v>
      </c>
      <c r="H2" s="22" t="s">
        <v>34</v>
      </c>
      <c r="I2" s="22" t="s">
        <v>35</v>
      </c>
      <c r="J2" s="22" t="s">
        <v>36</v>
      </c>
    </row>
    <row r="3" spans="1:10" x14ac:dyDescent="0.25">
      <c r="A3" s="14" t="s">
        <v>19</v>
      </c>
      <c r="B3" s="14">
        <v>17</v>
      </c>
      <c r="C3" s="14">
        <v>67</v>
      </c>
      <c r="D3" s="14">
        <v>84</v>
      </c>
      <c r="E3" s="14">
        <v>47</v>
      </c>
      <c r="F3" s="14">
        <v>37</v>
      </c>
      <c r="G3" s="14">
        <v>2</v>
      </c>
      <c r="H3" s="14">
        <v>0</v>
      </c>
      <c r="I3" s="14">
        <v>0</v>
      </c>
      <c r="J3" s="28">
        <f t="shared" ref="J3:J20" si="0">IF(F3&gt;0,G3/F3,0)</f>
        <v>5.4054054054054057E-2</v>
      </c>
    </row>
    <row r="4" spans="1:10" x14ac:dyDescent="0.25">
      <c r="A4" s="14" t="s">
        <v>37</v>
      </c>
      <c r="B4" s="14">
        <v>4</v>
      </c>
      <c r="C4" s="14">
        <v>6</v>
      </c>
      <c r="D4" s="14">
        <v>10</v>
      </c>
      <c r="E4" s="14">
        <v>3</v>
      </c>
      <c r="F4" s="14">
        <v>7</v>
      </c>
      <c r="G4" s="14">
        <v>0</v>
      </c>
      <c r="H4" s="14">
        <v>0</v>
      </c>
      <c r="I4" s="14">
        <v>0</v>
      </c>
      <c r="J4" s="28">
        <f t="shared" si="0"/>
        <v>0</v>
      </c>
    </row>
    <row r="5" spans="1:10" x14ac:dyDescent="0.25">
      <c r="A5" s="14" t="s">
        <v>20</v>
      </c>
      <c r="B5" s="14">
        <v>12</v>
      </c>
      <c r="C5" s="14">
        <v>35</v>
      </c>
      <c r="D5" s="14">
        <v>47</v>
      </c>
      <c r="E5" s="14">
        <v>17</v>
      </c>
      <c r="F5" s="14">
        <v>30</v>
      </c>
      <c r="G5" s="14">
        <v>0</v>
      </c>
      <c r="H5" s="14">
        <v>0</v>
      </c>
      <c r="I5" s="14">
        <v>0</v>
      </c>
      <c r="J5" s="28">
        <f t="shared" si="0"/>
        <v>0</v>
      </c>
    </row>
    <row r="6" spans="1:10" x14ac:dyDescent="0.25">
      <c r="A6" s="14" t="s">
        <v>38</v>
      </c>
      <c r="B6" s="14">
        <v>5</v>
      </c>
      <c r="C6" s="14">
        <v>11</v>
      </c>
      <c r="D6" s="14">
        <v>16</v>
      </c>
      <c r="E6" s="14">
        <v>10</v>
      </c>
      <c r="F6" s="14">
        <v>6</v>
      </c>
      <c r="G6" s="14">
        <v>0</v>
      </c>
      <c r="H6" s="14">
        <v>0</v>
      </c>
      <c r="I6" s="14">
        <v>0</v>
      </c>
      <c r="J6" s="28">
        <f t="shared" si="0"/>
        <v>0</v>
      </c>
    </row>
    <row r="7" spans="1:10" x14ac:dyDescent="0.25">
      <c r="A7" s="14" t="s">
        <v>21</v>
      </c>
      <c r="B7" s="14">
        <v>2</v>
      </c>
      <c r="C7" s="14">
        <v>15</v>
      </c>
      <c r="D7" s="14">
        <v>17</v>
      </c>
      <c r="E7" s="14">
        <v>12</v>
      </c>
      <c r="F7" s="14">
        <v>5</v>
      </c>
      <c r="G7" s="14">
        <v>0</v>
      </c>
      <c r="H7" s="14">
        <v>0</v>
      </c>
      <c r="I7" s="14">
        <v>0</v>
      </c>
      <c r="J7" s="28">
        <f t="shared" si="0"/>
        <v>0</v>
      </c>
    </row>
    <row r="8" spans="1:10" x14ac:dyDescent="0.25">
      <c r="A8" s="14" t="s">
        <v>39</v>
      </c>
      <c r="B8" s="14">
        <v>8</v>
      </c>
      <c r="C8" s="14">
        <v>30</v>
      </c>
      <c r="D8" s="14">
        <v>38</v>
      </c>
      <c r="E8" s="14">
        <v>34</v>
      </c>
      <c r="F8" s="14">
        <v>4</v>
      </c>
      <c r="G8" s="14">
        <v>0</v>
      </c>
      <c r="H8" s="14">
        <v>0</v>
      </c>
      <c r="I8" s="14">
        <v>0</v>
      </c>
      <c r="J8" s="28">
        <f t="shared" si="0"/>
        <v>0</v>
      </c>
    </row>
    <row r="9" spans="1:10" x14ac:dyDescent="0.25">
      <c r="A9" s="14" t="s">
        <v>22</v>
      </c>
      <c r="B9" s="14">
        <v>7</v>
      </c>
      <c r="C9" s="14">
        <v>44</v>
      </c>
      <c r="D9" s="14">
        <v>51</v>
      </c>
      <c r="E9" s="14">
        <v>25</v>
      </c>
      <c r="F9" s="14">
        <v>26</v>
      </c>
      <c r="G9" s="14">
        <v>0</v>
      </c>
      <c r="H9" s="14">
        <v>0</v>
      </c>
      <c r="I9" s="14">
        <v>0</v>
      </c>
      <c r="J9" s="28">
        <f t="shared" si="0"/>
        <v>0</v>
      </c>
    </row>
    <row r="10" spans="1:10" x14ac:dyDescent="0.25">
      <c r="A10" s="14" t="s">
        <v>40</v>
      </c>
      <c r="B10" s="14">
        <v>6</v>
      </c>
      <c r="C10" s="14">
        <v>22</v>
      </c>
      <c r="D10" s="14">
        <v>28</v>
      </c>
      <c r="E10" s="14">
        <v>8</v>
      </c>
      <c r="F10" s="14">
        <v>20</v>
      </c>
      <c r="G10" s="14">
        <v>0</v>
      </c>
      <c r="H10" s="14">
        <v>0</v>
      </c>
      <c r="I10" s="14">
        <v>0</v>
      </c>
      <c r="J10" s="28">
        <f t="shared" si="0"/>
        <v>0</v>
      </c>
    </row>
    <row r="11" spans="1:10" x14ac:dyDescent="0.25">
      <c r="A11" s="14" t="s">
        <v>23</v>
      </c>
      <c r="B11" s="14">
        <v>5</v>
      </c>
      <c r="C11" s="14">
        <v>18</v>
      </c>
      <c r="D11" s="14">
        <v>23</v>
      </c>
      <c r="E11" s="14">
        <v>7</v>
      </c>
      <c r="F11" s="14">
        <v>16</v>
      </c>
      <c r="G11" s="14">
        <v>0</v>
      </c>
      <c r="H11" s="14">
        <v>0</v>
      </c>
      <c r="I11" s="14">
        <v>0</v>
      </c>
      <c r="J11" s="28">
        <f t="shared" si="0"/>
        <v>0</v>
      </c>
    </row>
    <row r="12" spans="1:10" x14ac:dyDescent="0.25">
      <c r="A12" s="14" t="s">
        <v>41</v>
      </c>
      <c r="B12" s="14">
        <v>5</v>
      </c>
      <c r="C12" s="14">
        <v>14</v>
      </c>
      <c r="D12" s="14">
        <v>19</v>
      </c>
      <c r="E12" s="14">
        <v>4</v>
      </c>
      <c r="F12" s="14">
        <v>15</v>
      </c>
      <c r="G12" s="14">
        <v>0</v>
      </c>
      <c r="H12" s="14">
        <v>0</v>
      </c>
      <c r="I12" s="14">
        <v>0</v>
      </c>
      <c r="J12" s="28">
        <f t="shared" si="0"/>
        <v>0</v>
      </c>
    </row>
    <row r="13" spans="1:10" x14ac:dyDescent="0.25">
      <c r="A13" s="14" t="s">
        <v>42</v>
      </c>
      <c r="B13" s="14">
        <v>16</v>
      </c>
      <c r="C13" s="14">
        <v>31</v>
      </c>
      <c r="D13" s="14">
        <v>47</v>
      </c>
      <c r="E13" s="14">
        <v>25</v>
      </c>
      <c r="F13" s="14">
        <v>22</v>
      </c>
      <c r="G13" s="14">
        <v>0</v>
      </c>
      <c r="H13" s="14">
        <v>0</v>
      </c>
      <c r="I13" s="14">
        <v>0</v>
      </c>
      <c r="J13" s="28">
        <f t="shared" si="0"/>
        <v>0</v>
      </c>
    </row>
    <row r="14" spans="1:10" x14ac:dyDescent="0.25">
      <c r="A14" s="14" t="s">
        <v>43</v>
      </c>
      <c r="B14" s="14">
        <v>6</v>
      </c>
      <c r="C14" s="14">
        <v>4</v>
      </c>
      <c r="D14" s="14">
        <v>10</v>
      </c>
      <c r="E14" s="14">
        <v>2</v>
      </c>
      <c r="F14" s="14">
        <v>8</v>
      </c>
      <c r="G14" s="14">
        <v>0</v>
      </c>
      <c r="H14" s="14">
        <v>0</v>
      </c>
      <c r="I14" s="14">
        <v>0</v>
      </c>
      <c r="J14" s="28">
        <f t="shared" si="0"/>
        <v>0</v>
      </c>
    </row>
    <row r="15" spans="1:10" x14ac:dyDescent="0.25">
      <c r="A15" s="14" t="s">
        <v>44</v>
      </c>
      <c r="B15" s="14">
        <v>6</v>
      </c>
      <c r="C15" s="14">
        <v>7</v>
      </c>
      <c r="D15" s="14">
        <v>13</v>
      </c>
      <c r="E15" s="14">
        <v>2</v>
      </c>
      <c r="F15" s="14">
        <v>11</v>
      </c>
      <c r="G15" s="14">
        <v>0</v>
      </c>
      <c r="H15" s="14">
        <v>0</v>
      </c>
      <c r="I15" s="14">
        <v>0</v>
      </c>
      <c r="J15" s="28">
        <f t="shared" si="0"/>
        <v>0</v>
      </c>
    </row>
    <row r="16" spans="1:10" x14ac:dyDescent="0.25">
      <c r="A16" s="14" t="s">
        <v>45</v>
      </c>
      <c r="B16" s="14">
        <v>4</v>
      </c>
      <c r="C16" s="14">
        <v>8</v>
      </c>
      <c r="D16" s="14">
        <v>12</v>
      </c>
      <c r="E16" s="14">
        <v>3</v>
      </c>
      <c r="F16" s="14">
        <v>9</v>
      </c>
      <c r="G16" s="14">
        <v>0</v>
      </c>
      <c r="H16" s="14">
        <v>0</v>
      </c>
      <c r="I16" s="14">
        <v>0</v>
      </c>
      <c r="J16" s="28">
        <f t="shared" si="0"/>
        <v>0</v>
      </c>
    </row>
    <row r="17" spans="1:10" x14ac:dyDescent="0.25">
      <c r="A17" s="14" t="s">
        <v>46</v>
      </c>
      <c r="B17" s="14">
        <v>15</v>
      </c>
      <c r="C17" s="14">
        <v>61</v>
      </c>
      <c r="D17" s="14">
        <v>76</v>
      </c>
      <c r="E17" s="14">
        <v>58</v>
      </c>
      <c r="F17" s="14">
        <v>18</v>
      </c>
      <c r="G17" s="14">
        <v>0</v>
      </c>
      <c r="H17" s="14">
        <v>0</v>
      </c>
      <c r="I17" s="14">
        <v>0</v>
      </c>
      <c r="J17" s="28">
        <f t="shared" si="0"/>
        <v>0</v>
      </c>
    </row>
    <row r="18" spans="1:10" x14ac:dyDescent="0.25">
      <c r="A18" s="14" t="s">
        <v>24</v>
      </c>
      <c r="B18" s="14">
        <v>27</v>
      </c>
      <c r="C18" s="14">
        <v>56</v>
      </c>
      <c r="D18" s="14">
        <v>83</v>
      </c>
      <c r="E18" s="14">
        <v>57</v>
      </c>
      <c r="F18" s="14">
        <v>26</v>
      </c>
      <c r="G18" s="14">
        <v>0</v>
      </c>
      <c r="H18" s="14">
        <v>0</v>
      </c>
      <c r="I18" s="14">
        <v>0</v>
      </c>
      <c r="J18" s="28">
        <f t="shared" si="0"/>
        <v>0</v>
      </c>
    </row>
    <row r="19" spans="1:10" x14ac:dyDescent="0.25">
      <c r="A19" s="14" t="s">
        <v>25</v>
      </c>
      <c r="B19" s="14">
        <v>6</v>
      </c>
      <c r="C19" s="14">
        <v>43</v>
      </c>
      <c r="D19" s="14">
        <v>49</v>
      </c>
      <c r="E19" s="14">
        <v>39</v>
      </c>
      <c r="F19" s="14">
        <v>10</v>
      </c>
      <c r="G19" s="14">
        <v>0</v>
      </c>
      <c r="H19" s="14">
        <v>0</v>
      </c>
      <c r="I19" s="14">
        <v>0</v>
      </c>
      <c r="J19" s="28">
        <f t="shared" si="0"/>
        <v>0</v>
      </c>
    </row>
    <row r="20" spans="1:10" x14ac:dyDescent="0.25">
      <c r="A20" s="18" t="s">
        <v>47</v>
      </c>
      <c r="B20" s="18">
        <v>16</v>
      </c>
      <c r="C20" s="18">
        <v>0</v>
      </c>
      <c r="D20" s="18">
        <v>16</v>
      </c>
      <c r="E20" s="18">
        <v>0</v>
      </c>
      <c r="F20" s="18">
        <v>16</v>
      </c>
      <c r="G20" s="18">
        <v>0</v>
      </c>
      <c r="H20" s="18">
        <v>0</v>
      </c>
      <c r="I20" s="18">
        <v>0</v>
      </c>
      <c r="J20" s="29">
        <f t="shared" si="0"/>
        <v>0</v>
      </c>
    </row>
    <row r="21" spans="1:10" x14ac:dyDescent="0.25">
      <c r="A21" s="23" t="s">
        <v>48</v>
      </c>
      <c r="B21" s="23">
        <f t="shared" ref="B21:I21" si="1">SUM(B3:B20)</f>
        <v>167</v>
      </c>
      <c r="C21" s="23">
        <f t="shared" si="1"/>
        <v>472</v>
      </c>
      <c r="D21" s="23">
        <f t="shared" si="1"/>
        <v>639</v>
      </c>
      <c r="E21" s="23">
        <f t="shared" si="1"/>
        <v>353</v>
      </c>
      <c r="F21" s="23">
        <f t="shared" si="1"/>
        <v>286</v>
      </c>
      <c r="G21" s="23">
        <f t="shared" si="1"/>
        <v>2</v>
      </c>
      <c r="H21" s="23">
        <f t="shared" si="1"/>
        <v>0</v>
      </c>
      <c r="I21" s="23">
        <f t="shared" si="1"/>
        <v>0</v>
      </c>
      <c r="J21" s="24">
        <f>AVERAGE(J3:J20)</f>
        <v>3.003003003003003E-3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Instructions</vt:lpstr>
      <vt:lpstr>Compliance</vt:lpstr>
      <vt:lpstr>CAT I Controls</vt:lpstr>
      <vt:lpstr>CAT II Controls</vt:lpstr>
      <vt:lpstr>CAT III 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Jeremiah Price (US)</cp:lastModifiedBy>
  <cp:revision>2</cp:revision>
  <dcterms:created xsi:type="dcterms:W3CDTF">2025-10-02T14:15:56Z</dcterms:created>
  <dcterms:modified xsi:type="dcterms:W3CDTF">2025-10-02T20:18:35Z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d32ece-d115-4b92-ac18-f48c5535bb57_Enabled">
    <vt:lpwstr>true</vt:lpwstr>
  </property>
  <property fmtid="{D5CDD505-2E9C-101B-9397-08002B2CF9AE}" pid="3" name="MSIP_Label_67d32ece-d115-4b92-ac18-f48c5535bb57_SetDate">
    <vt:lpwstr>2025-10-02T14:46:07Z</vt:lpwstr>
  </property>
  <property fmtid="{D5CDD505-2E9C-101B-9397-08002B2CF9AE}" pid="4" name="MSIP_Label_67d32ece-d115-4b92-ac18-f48c5535bb57_Method">
    <vt:lpwstr>Standard</vt:lpwstr>
  </property>
  <property fmtid="{D5CDD505-2E9C-101B-9397-08002B2CF9AE}" pid="5" name="MSIP_Label_67d32ece-d115-4b92-ac18-f48c5535bb57_Name">
    <vt:lpwstr>Public</vt:lpwstr>
  </property>
  <property fmtid="{D5CDD505-2E9C-101B-9397-08002B2CF9AE}" pid="6" name="MSIP_Label_67d32ece-d115-4b92-ac18-f48c5535bb57_SiteId">
    <vt:lpwstr>7932d891-b9cc-431d-be14-d43339fa1133</vt:lpwstr>
  </property>
  <property fmtid="{D5CDD505-2E9C-101B-9397-08002B2CF9AE}" pid="7" name="MSIP_Label_67d32ece-d115-4b92-ac18-f48c5535bb57_ActionId">
    <vt:lpwstr>0b690c9e-bafe-4705-8818-0d13da54df7e</vt:lpwstr>
  </property>
  <property fmtid="{D5CDD505-2E9C-101B-9397-08002B2CF9AE}" pid="8" name="MSIP_Label_67d32ece-d115-4b92-ac18-f48c5535bb57_ContentBits">
    <vt:lpwstr>0</vt:lpwstr>
  </property>
  <property fmtid="{D5CDD505-2E9C-101B-9397-08002B2CF9AE}" pid="9" name="MSIP_Label_67d32ece-d115-4b92-ac18-f48c5535bb57_Tag">
    <vt:lpwstr>10, 3, 0, 1</vt:lpwstr>
  </property>
</Properties>
</file>